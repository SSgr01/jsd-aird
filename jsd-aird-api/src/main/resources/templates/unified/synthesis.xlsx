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e8822408724058" /></Relationships>
</file>

<file path=xl/workbook.xml><?xml version="1.0" encoding="utf-8"?>
<workbook xmlns="http://schemas.openxmlformats.org/spreadsheetml/2006/main" xmlns:r="http://schemas.openxmlformats.org/officeDocument/2006/relationships">
  <sheets>
    <sheet name="合成实验" sheetId="1" r:id="Ra9cc3e348fd945f6"/>
  </sheets>
  <definedNames>
    <definedName name="_xlnm.Print_Area" localSheetId="0">'合成实验'!$A$1:$H$54</definedName>
    <definedName name="_xlnm.Print_Titles" localSheetId="0">'合成实验'!$1:$2</definedName>
  </definedNames>
  <calcPr fullCalcOnLoad="1" forceFullCalc="1"/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.0"/>
    <x:numFmt numFmtId="202" formatCode="0%"/>
    <x:numFmt numFmtId="203" formatCode="0.###"/>
    <x:numFmt numFmtId="204" formatCode="0.00%"/>
    <x:numFmt numFmtId="205" formatCode="0.000%"/>
  </x:numFmts>
  <x:fonts count="4">
    <x:font>
      <x:sz val="11"/>
      <x:name val="Carlito"/>
    </x:font>
    <x:font>
      <x:sz val="11"/>
      <x:color rgb="FF000000"/>
      <x:name val="宋体"/>
    </x:font>
    <x:font>
      <x:b/>
      <x:sz val="13"/>
      <x:color rgb="FF000000"/>
      <x:name val="宋体"/>
    </x:font>
    <x:font>
      <x:b/>
      <x:sz val="11"/>
      <x:color rgb="FF000000"/>
      <x:name val="宋体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2F2F2"/>
      </x:patternFill>
    </x:fill>
  </x:fills>
  <x:borders count="2">
    <x:border>
      <x:left/>
      <x:right/>
      <x:top/>
      <x:bottom/>
      <x:diagonal/>
    </x:border>
    <x:border>
      <x:left style="thin">
        <x:color rgb="FF555555"/>
      </x:left>
      <x:right style="thin">
        <x:color rgb="FF555555"/>
      </x:right>
      <x:top style="thin">
        <x:color rgb="FF555555"/>
      </x:top>
      <x:bottom style="thin">
        <x:color rgb="FF555555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201" fontId="1" fillId="2" borderId="1" xfId="0" applyNumberFormat="1" applyFont="1" applyFill="1" applyBorder="1" applyAlignment="1">
      <x:alignment horizontal="center" vertical="center" wrapText="1"/>
    </x:xf>
    <x:xf numFmtId="202" fontId="1" fillId="2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3" fontId="1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203" fontId="3" fillId="3" borderId="1" xfId="0" applyNumberFormat="1" applyFont="1" applyFill="1" applyBorder="1" applyAlignment="1">
      <x:alignment horizontal="center" vertical="center" wrapText="1"/>
    </x:xf>
    <x:xf numFmtId="204" fontId="1" fillId="2" borderId="1" xfId="0" applyNumberFormat="1" applyFont="1" applyFill="1" applyBorder="1" applyAlignment="1">
      <x:alignment horizontal="center" vertical="center" wrapText="1"/>
    </x:xf>
    <x:xf numFmtId="205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bb5d90a7014157" /><Relationship Type="http://schemas.openxmlformats.org/officeDocument/2006/relationships/theme" Target="/xl/theme/theme1.xml" Id="Rd31e8232ef494647" /><Relationship Type="http://schemas.openxmlformats.org/officeDocument/2006/relationships/sharedStrings" Target="/xl/sharedStrings.xml" Id="R7c85f076457f4eb5" /><Relationship Type="http://schemas.openxmlformats.org/officeDocument/2006/relationships/worksheet" Target="/xl/worksheets/sheet1.xml" Id="Ra9cc3e348fd945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 showOutlineSymbols="1"/>
    <pageSetUpPr fitToPage="1" autoPageBreaks="1"/>
  </sheetPr>
  <sheetViews>
    <sheetView showGridLines="0" workbookViewId="0" showOutlineSymbols="1" zoomScale="85">
      <pane ySplit="2" topLeftCell="A3" activePane="bottomLeft" state="frozen"/>
    </sheetView>
  </sheetViews>
  <sheetFormatPr defaultRowHeight="15" outlineLevelRow="1"/>
  <cols>
    <col min="1" max="1" width="13" hidden="0" customWidth="1"/>
    <col min="2" max="2" width="31" hidden="0" customWidth="1"/>
    <col min="3" max="3" width="16" hidden="0" customWidth="1"/>
    <col min="4" max="4" width="16" hidden="0" customWidth="1"/>
    <col min="5" max="5" width="16" hidden="0" customWidth="1"/>
    <col min="6" max="6" width="16" hidden="0" customWidth="1"/>
    <col min="7" max="7" width="16" hidden="0" customWidth="1"/>
    <col min="8" max="8" width="16" hidden="0" customWidth="1"/>
  </cols>
  <sheetData>
    <row r="1" ht="32" customHeight="1">
      <c r="A1" s="7" t="str">
        <v>实验题目</v>
      </c>
      <c r="B1" s="11"/>
      <c r="C1" s="11"/>
      <c r="D1" s="11"/>
      <c r="E1" s="11"/>
      <c r="F1" s="11"/>
      <c r="G1" s="11"/>
      <c r="H1" s="11"/>
    </row>
    <row r="2" ht="28" customHeight="1">
      <c r="A2" s="6" t="str">
        <v>实验人</v>
      </c>
      <c r="B2" s="6"/>
      <c r="C2" s="6" t="str">
        <v>日期</v>
      </c>
      <c r="D2" s="8"/>
      <c r="E2" s="6" t="str">
        <v>环境温度（℃）</v>
      </c>
      <c r="F2" s="9"/>
      <c r="G2" s="6" t="str">
        <v>相对湿度（%）</v>
      </c>
      <c r="H2" s="10"/>
    </row>
    <row r="3" ht="26" customHeight="1">
      <c r="A3" s="6" t="str">
        <v>关联项目</v>
      </c>
      <c r="B3" s="11"/>
      <c r="C3" s="11"/>
      <c r="D3" s="11"/>
      <c r="E3" s="11"/>
      <c r="F3" s="11"/>
      <c r="G3" s="11"/>
      <c r="H3" s="11"/>
    </row>
    <row r="4" ht="23" customHeight="1">
      <c r="A4" s="6" t="str">
        <v>项目编号</v>
      </c>
      <c r="B4" s="11"/>
      <c r="C4" s="11"/>
      <c r="D4" s="11"/>
      <c r="E4" s="11"/>
      <c r="F4" s="11"/>
      <c r="G4" s="11"/>
      <c r="H4" s="11"/>
    </row>
    <row r="5" ht="42" customHeight="1">
      <c r="A5" s="6" t="str">
        <v>实验背景</v>
      </c>
      <c r="B5" s="11"/>
      <c r="C5" s="11"/>
      <c r="D5" s="11"/>
      <c r="E5" s="11"/>
      <c r="F5" s="11"/>
      <c r="G5" s="11"/>
      <c r="H5" s="11"/>
    </row>
    <row r="6" ht="34" customHeight="1">
      <c r="A6" s="6" t="str">
        <v>实验目的</v>
      </c>
      <c r="B6" s="11"/>
      <c r="C6" s="11"/>
      <c r="D6" s="11"/>
      <c r="E6" s="11"/>
      <c r="F6" s="11"/>
      <c r="G6" s="11"/>
      <c r="H6" s="11"/>
    </row>
    <row r="7" ht="52" customHeight="1">
      <c r="A7" s="6" t="str">
        <v>实验方案</v>
      </c>
      <c r="B7" s="6"/>
      <c r="C7" s="6"/>
      <c r="D7" s="6"/>
      <c r="E7" s="6"/>
      <c r="F7" s="6"/>
      <c r="G7" s="6"/>
      <c r="H7" s="6"/>
    </row>
    <row r="8" ht="42" customHeight="1">
      <c r="A8" s="6" t="str">
        <v>实验内容</v>
      </c>
      <c r="B8" s="6"/>
      <c r="C8" s="6"/>
      <c r="D8" s="6"/>
      <c r="E8" s="6"/>
      <c r="F8" s="6"/>
      <c r="G8" s="6"/>
      <c r="H8" s="6"/>
    </row>
    <row r="9" ht="30" customHeight="1">
      <c r="A9" s="6" t="str">
        <v>实验编号</v>
      </c>
      <c r="B9" s="6"/>
      <c r="C9" s="6"/>
      <c r="D9" s="6"/>
      <c r="E9" s="6"/>
      <c r="F9" s="6"/>
      <c r="G9" s="6"/>
      <c r="H9" s="6"/>
    </row>
    <row r="10" ht="23" customHeight="1">
      <c r="A10" s="12" t="str">
        <v>配方</v>
      </c>
      <c r="B10" s="6"/>
      <c r="C10" s="13"/>
      <c r="D10" s="13"/>
      <c r="E10" s="13"/>
      <c r="F10" s="13"/>
      <c r="G10" s="13"/>
      <c r="H10" s="13"/>
    </row>
    <row r="11" ht="23" customHeight="1">
      <c r="A11" s="12"/>
      <c r="B11" s="6"/>
      <c r="C11" s="13"/>
      <c r="D11" s="13"/>
      <c r="E11" s="13"/>
      <c r="F11" s="13"/>
      <c r="G11" s="13"/>
      <c r="H11" s="13"/>
    </row>
    <row r="12" ht="23" customHeight="1">
      <c r="A12" s="12"/>
      <c r="B12" s="6"/>
      <c r="C12" s="13"/>
      <c r="D12" s="13"/>
      <c r="E12" s="13"/>
      <c r="F12" s="13"/>
      <c r="G12" s="13"/>
      <c r="H12" s="13"/>
    </row>
    <row r="13" ht="23" customHeight="1">
      <c r="A13" s="12"/>
      <c r="B13" s="6"/>
      <c r="C13" s="13"/>
      <c r="D13" s="13"/>
      <c r="E13" s="13"/>
      <c r="F13" s="13"/>
      <c r="G13" s="13"/>
      <c r="H13" s="13"/>
    </row>
    <row r="14" ht="23" customHeight="1">
      <c r="A14" s="12"/>
      <c r="B14" s="6"/>
      <c r="C14" s="13"/>
      <c r="D14" s="13"/>
      <c r="E14" s="13"/>
      <c r="F14" s="13"/>
      <c r="G14" s="13"/>
      <c r="H14" s="13"/>
    </row>
    <row r="15" ht="23" customHeight="1">
      <c r="A15" s="12"/>
      <c r="B15" s="6"/>
      <c r="C15" s="13"/>
      <c r="D15" s="13"/>
      <c r="E15" s="13"/>
      <c r="F15" s="13"/>
      <c r="G15" s="13"/>
      <c r="H15" s="13"/>
    </row>
    <row r="16" ht="23" customHeight="1">
      <c r="A16" s="12"/>
      <c r="B16" s="6"/>
      <c r="C16" s="13"/>
      <c r="D16" s="13"/>
      <c r="E16" s="13"/>
      <c r="F16" s="13"/>
      <c r="G16" s="13"/>
      <c r="H16" s="13"/>
    </row>
    <row r="17" ht="23" customHeight="1">
      <c r="A17" s="12"/>
      <c r="B17" s="6"/>
      <c r="C17" s="13"/>
      <c r="D17" s="13"/>
      <c r="E17" s="13"/>
      <c r="F17" s="13"/>
      <c r="G17" s="13"/>
      <c r="H17" s="13"/>
    </row>
    <row r="18" ht="23" customHeight="1">
      <c r="A18" s="12"/>
      <c r="B18" s="6"/>
      <c r="C18" s="13"/>
      <c r="D18" s="13"/>
      <c r="E18" s="13"/>
      <c r="F18" s="13"/>
      <c r="G18" s="13"/>
      <c r="H18" s="13"/>
    </row>
    <row r="19" ht="23" customHeight="1">
      <c r="A19" s="12"/>
      <c r="B19" s="6"/>
      <c r="C19" s="13"/>
      <c r="D19" s="13"/>
      <c r="E19" s="13"/>
      <c r="F19" s="13"/>
      <c r="G19" s="13"/>
      <c r="H19" s="13"/>
    </row>
    <row r="20" ht="23" customHeight="1">
      <c r="A20" s="12"/>
      <c r="B20" s="6"/>
      <c r="C20" s="13"/>
      <c r="D20" s="13"/>
      <c r="E20" s="13"/>
      <c r="F20" s="13"/>
      <c r="G20" s="13"/>
      <c r="H20" s="13"/>
    </row>
    <row r="21" ht="23" customHeight="1">
      <c r="A21" s="12"/>
      <c r="B21" s="6"/>
      <c r="C21" s="13"/>
      <c r="D21" s="13"/>
      <c r="E21" s="13"/>
      <c r="F21" s="13"/>
      <c r="G21" s="13"/>
      <c r="H21" s="13"/>
    </row>
    <row r="22" ht="23" customHeight="1">
      <c r="A22" s="12"/>
      <c r="B22" s="6"/>
      <c r="C22" s="13"/>
      <c r="D22" s="13"/>
      <c r="E22" s="13"/>
      <c r="F22" s="13"/>
      <c r="G22" s="13"/>
      <c r="H22" s="13"/>
    </row>
    <row r="23" ht="23" customHeight="1">
      <c r="A23" s="12"/>
      <c r="B23" s="6"/>
      <c r="C23" s="13"/>
      <c r="D23" s="13"/>
      <c r="E23" s="13"/>
      <c r="F23" s="13"/>
      <c r="G23" s="13"/>
      <c r="H23" s="13"/>
    </row>
    <row r="24" ht="23" customHeight="1">
      <c r="A24" s="12" t="str">
        <v>设计参数</v>
      </c>
      <c r="B24" s="15" t="str">
        <v>质量合计（g）</v>
      </c>
      <c r="C24" s="16" t="str">
        <f>IF(COUNTA(C10:C23)=0,"",IF(OR(SUMPRODUCT(($B$10:$B$23&lt;&gt;"")*(C10:C23=""))&gt;0,SUMPRODUCT(($B$10:$B$23="")*(C10:C23&lt;&gt;""))&gt;0,MIN(IFERROR(IF((C10="")+(C10="/"),0,IF(ISNUMBER(C10),C10,IF((RIGHT(LOWER(TRIM(C10)),1)="g")*ISERROR(SEARCH("%",C10))*ISERROR(SEARCH("/",C10)),--LEFT(TRIM(C10),LEN(TRIM(C10))-1),-1))),-1),IFERROR(IF((C11="")+(C11="/"),0,IF(ISNUMBER(C11),C11,IF((RIGHT(LOWER(TRIM(C11)),1)="g")*ISERROR(SEARCH("%",C11))*ISERROR(SEARCH("/",C11)),--LEFT(TRIM(C11),LEN(TRIM(C11))-1),-1))),-1),IFERROR(IF((C12="")+(C12="/"),0,IF(ISNUMBER(C12),C12,IF((RIGHT(LOWER(TRIM(C12)),1)="g")*ISERROR(SEARCH("%",C12))*ISERROR(SEARCH("/",C12)),--LEFT(TRIM(C12),LEN(TRIM(C12))-1),-1))),-1),IFERROR(IF((C13="")+(C13="/"),0,IF(ISNUMBER(C13),C13,IF((RIGHT(LOWER(TRIM(C13)),1)="g")*ISERROR(SEARCH("%",C13))*ISERROR(SEARCH("/",C13)),--LEFT(TRIM(C13),LEN(TRIM(C13))-1),-1))),-1),IFERROR(IF((C14="")+(C14="/"),0,IF(ISNUMBER(C14),C14,IF((RIGHT(LOWER(TRIM(C14)),1)="g")*ISERROR(SEARCH("%",C14))*ISERROR(SEARCH("/",C14)),--LEFT(TRIM(C14),LEN(TRIM(C14))-1),-1))),-1),IFERROR(IF((C15="")+(C15="/"),0,IF(ISNUMBER(C15),C15,IF((RIGHT(LOWER(TRIM(C15)),1)="g")*ISERROR(SEARCH("%",C15))*ISERROR(SEARCH("/",C15)),--LEFT(TRIM(C15),LEN(TRIM(C15))-1),-1))),-1),IFERROR(IF((C16="")+(C16="/"),0,IF(ISNUMBER(C16),C16,IF((RIGHT(LOWER(TRIM(C16)),1)="g")*ISERROR(SEARCH("%",C16))*ISERROR(SEARCH("/",C16)),--LEFT(TRIM(C16),LEN(TRIM(C16))-1),-1))),-1),IFERROR(IF((C17="")+(C17="/"),0,IF(ISNUMBER(C17),C17,IF((RIGHT(LOWER(TRIM(C17)),1)="g")*ISERROR(SEARCH("%",C17))*ISERROR(SEARCH("/",C17)),--LEFT(TRIM(C17),LEN(TRIM(C17))-1),-1))),-1),IFERROR(IF((C18="")+(C18="/"),0,IF(ISNUMBER(C18),C18,IF((RIGHT(LOWER(TRIM(C18)),1)="g")*ISERROR(SEARCH("%",C18))*ISERROR(SEARCH("/",C18)),--LEFT(TRIM(C18),LEN(TRIM(C18))-1),-1))),-1),IFERROR(IF((C19="")+(C19="/"),0,IF(ISNUMBER(C19),C19,IF((RIGHT(LOWER(TRIM(C19)),1)="g")*ISERROR(SEARCH("%",C19))*ISERROR(SEARCH("/",C19)),--LEFT(TRIM(C19),LEN(TRIM(C19))-1),-1))),-1),IFERROR(IF((C20="")+(C20="/"),0,IF(ISNUMBER(C20),C20,IF((RIGHT(LOWER(TRIM(C20)),1)="g")*ISERROR(SEARCH("%",C20))*ISERROR(SEARCH("/",C20)),--LEFT(TRIM(C20),LEN(TRIM(C20))-1),-1))),-1),IFERROR(IF((C21="")+(C21="/"),0,IF(ISNUMBER(C21),C21,IF((RIGHT(LOWER(TRIM(C21)),1)="g")*ISERROR(SEARCH("%",C21))*ISERROR(SEARCH("/",C21)),--LEFT(TRIM(C21),LEN(TRIM(C21))-1),-1))),-1),IFERROR(IF((C22="")+(C22="/"),0,IF(ISNUMBER(C22),C22,IF((RIGHT(LOWER(TRIM(C22)),1)="g")*ISERROR(SEARCH("%",C22))*ISERROR(SEARCH("/",C22)),--LEFT(TRIM(C22),LEN(TRIM(C22))-1),-1))),-1),IFERROR(IF((C23="")+(C23="/"),0,IF(ISNUMBER(C23),C23,IF((RIGHT(LOWER(TRIM(C23)),1)="g")*ISERROR(SEARCH("%",C23))*ISERROR(SEARCH("/",C23)),--LEFT(TRIM(C23),LEN(TRIM(C23))-1),-1))),-1))&lt;0),"",SUM(IFERROR(IF((C10="")+(C10="/"),0,IF(ISNUMBER(C10),C10,IF((RIGHT(LOWER(TRIM(C10)),1)="g")*ISERROR(SEARCH("%",C10))*ISERROR(SEARCH("/",C10)),--LEFT(TRIM(C10),LEN(TRIM(C10))-1),-1))),-1),IFERROR(IF((C11="")+(C11="/"),0,IF(ISNUMBER(C11),C11,IF((RIGHT(LOWER(TRIM(C11)),1)="g")*ISERROR(SEARCH("%",C11))*ISERROR(SEARCH("/",C11)),--LEFT(TRIM(C11),LEN(TRIM(C11))-1),-1))),-1),IFERROR(IF((C12="")+(C12="/"),0,IF(ISNUMBER(C12),C12,IF((RIGHT(LOWER(TRIM(C12)),1)="g")*ISERROR(SEARCH("%",C12))*ISERROR(SEARCH("/",C12)),--LEFT(TRIM(C12),LEN(TRIM(C12))-1),-1))),-1),IFERROR(IF((C13="")+(C13="/"),0,IF(ISNUMBER(C13),C13,IF((RIGHT(LOWER(TRIM(C13)),1)="g")*ISERROR(SEARCH("%",C13))*ISERROR(SEARCH("/",C13)),--LEFT(TRIM(C13),LEN(TRIM(C13))-1),-1))),-1),IFERROR(IF((C14="")+(C14="/"),0,IF(ISNUMBER(C14),C14,IF((RIGHT(LOWER(TRIM(C14)),1)="g")*ISERROR(SEARCH("%",C14))*ISERROR(SEARCH("/",C14)),--LEFT(TRIM(C14),LEN(TRIM(C14))-1),-1))),-1),IFERROR(IF((C15="")+(C15="/"),0,IF(ISNUMBER(C15),C15,IF((RIGHT(LOWER(TRIM(C15)),1)="g")*ISERROR(SEARCH("%",C15))*ISERROR(SEARCH("/",C15)),--LEFT(TRIM(C15),LEN(TRIM(C15))-1),-1))),-1),IFERROR(IF((C16="")+(C16="/"),0,IF(ISNUMBER(C16),C16,IF((RIGHT(LOWER(TRIM(C16)),1)="g")*ISERROR(SEARCH("%",C16))*ISERROR(SEARCH("/",C16)),--LEFT(TRIM(C16),LEN(TRIM(C16))-1),-1))),-1),IFERROR(IF((C17="")+(C17="/"),0,IF(ISNUMBER(C17),C17,IF((RIGHT(LOWER(TRIM(C17)),1)="g")*ISERROR(SEARCH("%",C17))*ISERROR(SEARCH("/",C17)),--LEFT(TRIM(C17),LEN(TRIM(C17))-1),-1))),-1),IFERROR(IF((C18="")+(C18="/"),0,IF(ISNUMBER(C18),C18,IF((RIGHT(LOWER(TRIM(C18)),1)="g")*ISERROR(SEARCH("%",C18))*ISERROR(SEARCH("/",C18)),--LEFT(TRIM(C18),LEN(TRIM(C18))-1),-1))),-1),IFERROR(IF((C19="")+(C19="/"),0,IF(ISNUMBER(C19),C19,IF((RIGHT(LOWER(TRIM(C19)),1)="g")*ISERROR(SEARCH("%",C19))*ISERROR(SEARCH("/",C19)),--LEFT(TRIM(C19),LEN(TRIM(C19))-1),-1))),-1),IFERROR(IF((C20="")+(C20="/"),0,IF(ISNUMBER(C20),C20,IF((RIGHT(LOWER(TRIM(C20)),1)="g")*ISERROR(SEARCH("%",C20))*ISERROR(SEARCH("/",C20)),--LEFT(TRIM(C20),LEN(TRIM(C20))-1),-1))),-1),IFERROR(IF((C21="")+(C21="/"),0,IF(ISNUMBER(C21),C21,IF((RIGHT(LOWER(TRIM(C21)),1)="g")*ISERROR(SEARCH("%",C21))*ISERROR(SEARCH("/",C21)),--LEFT(TRIM(C21),LEN(TRIM(C21))-1),-1))),-1),IFERROR(IF((C22="")+(C22="/"),0,IF(ISNUMBER(C22),C22,IF((RIGHT(LOWER(TRIM(C22)),1)="g")*ISERROR(SEARCH("%",C22))*ISERROR(SEARCH("/",C22)),--LEFT(TRIM(C22),LEN(TRIM(C22))-1),-1))),-1),IFERROR(IF((C23="")+(C23="/"),0,IF(ISNUMBER(C23),C23,IF((RIGHT(LOWER(TRIM(C23)),1)="g")*ISERROR(SEARCH("%",C23))*ISERROR(SEARCH("/",C23)),--LEFT(TRIM(C23),LEN(TRIM(C23))-1),-1))),-1))))</f>
      </c>
      <c r="D24" s="16" t="str">
        <f>IF(COUNTA(D10:D23)=0,"",IF(OR(SUMPRODUCT(($B$10:$B$23&lt;&gt;"")*(D10:D23=""))&gt;0,SUMPRODUCT(($B$10:$B$23="")*(D10:D23&lt;&gt;""))&gt;0,MIN(IFERROR(IF((D10="")+(D10="/"),0,IF(ISNUMBER(D10),D10,IF((RIGHT(LOWER(TRIM(D10)),1)="g")*ISERROR(SEARCH("%",D10))*ISERROR(SEARCH("/",D10)),--LEFT(TRIM(D10),LEN(TRIM(D10))-1),-1))),-1),IFERROR(IF((D11="")+(D11="/"),0,IF(ISNUMBER(D11),D11,IF((RIGHT(LOWER(TRIM(D11)),1)="g")*ISERROR(SEARCH("%",D11))*ISERROR(SEARCH("/",D11)),--LEFT(TRIM(D11),LEN(TRIM(D11))-1),-1))),-1),IFERROR(IF((D12="")+(D12="/"),0,IF(ISNUMBER(D12),D12,IF((RIGHT(LOWER(TRIM(D12)),1)="g")*ISERROR(SEARCH("%",D12))*ISERROR(SEARCH("/",D12)),--LEFT(TRIM(D12),LEN(TRIM(D12))-1),-1))),-1),IFERROR(IF((D13="")+(D13="/"),0,IF(ISNUMBER(D13),D13,IF((RIGHT(LOWER(TRIM(D13)),1)="g")*ISERROR(SEARCH("%",D13))*ISERROR(SEARCH("/",D13)),--LEFT(TRIM(D13),LEN(TRIM(D13))-1),-1))),-1),IFERROR(IF((D14="")+(D14="/"),0,IF(ISNUMBER(D14),D14,IF((RIGHT(LOWER(TRIM(D14)),1)="g")*ISERROR(SEARCH("%",D14))*ISERROR(SEARCH("/",D14)),--LEFT(TRIM(D14),LEN(TRIM(D14))-1),-1))),-1),IFERROR(IF((D15="")+(D15="/"),0,IF(ISNUMBER(D15),D15,IF((RIGHT(LOWER(TRIM(D15)),1)="g")*ISERROR(SEARCH("%",D15))*ISERROR(SEARCH("/",D15)),--LEFT(TRIM(D15),LEN(TRIM(D15))-1),-1))),-1),IFERROR(IF((D16="")+(D16="/"),0,IF(ISNUMBER(D16),D16,IF((RIGHT(LOWER(TRIM(D16)),1)="g")*ISERROR(SEARCH("%",D16))*ISERROR(SEARCH("/",D16)),--LEFT(TRIM(D16),LEN(TRIM(D16))-1),-1))),-1),IFERROR(IF((D17="")+(D17="/"),0,IF(ISNUMBER(D17),D17,IF((RIGHT(LOWER(TRIM(D17)),1)="g")*ISERROR(SEARCH("%",D17))*ISERROR(SEARCH("/",D17)),--LEFT(TRIM(D17),LEN(TRIM(D17))-1),-1))),-1),IFERROR(IF((D18="")+(D18="/"),0,IF(ISNUMBER(D18),D18,IF((RIGHT(LOWER(TRIM(D18)),1)="g")*ISERROR(SEARCH("%",D18))*ISERROR(SEARCH("/",D18)),--LEFT(TRIM(D18),LEN(TRIM(D18))-1),-1))),-1),IFERROR(IF((D19="")+(D19="/"),0,IF(ISNUMBER(D19),D19,IF((RIGHT(LOWER(TRIM(D19)),1)="g")*ISERROR(SEARCH("%",D19))*ISERROR(SEARCH("/",D19)),--LEFT(TRIM(D19),LEN(TRIM(D19))-1),-1))),-1),IFERROR(IF((D20="")+(D20="/"),0,IF(ISNUMBER(D20),D20,IF((RIGHT(LOWER(TRIM(D20)),1)="g")*ISERROR(SEARCH("%",D20))*ISERROR(SEARCH("/",D20)),--LEFT(TRIM(D20),LEN(TRIM(D20))-1),-1))),-1),IFERROR(IF((D21="")+(D21="/"),0,IF(ISNUMBER(D21),D21,IF((RIGHT(LOWER(TRIM(D21)),1)="g")*ISERROR(SEARCH("%",D21))*ISERROR(SEARCH("/",D21)),--LEFT(TRIM(D21),LEN(TRIM(D21))-1),-1))),-1),IFERROR(IF((D22="")+(D22="/"),0,IF(ISNUMBER(D22),D22,IF((RIGHT(LOWER(TRIM(D22)),1)="g")*ISERROR(SEARCH("%",D22))*ISERROR(SEARCH("/",D22)),--LEFT(TRIM(D22),LEN(TRIM(D22))-1),-1))),-1),IFERROR(IF((D23="")+(D23="/"),0,IF(ISNUMBER(D23),D23,IF((RIGHT(LOWER(TRIM(D23)),1)="g")*ISERROR(SEARCH("%",D23))*ISERROR(SEARCH("/",D23)),--LEFT(TRIM(D23),LEN(TRIM(D23))-1),-1))),-1))&lt;0),"",SUM(IFERROR(IF((D10="")+(D10="/"),0,IF(ISNUMBER(D10),D10,IF((RIGHT(LOWER(TRIM(D10)),1)="g")*ISERROR(SEARCH("%",D10))*ISERROR(SEARCH("/",D10)),--LEFT(TRIM(D10),LEN(TRIM(D10))-1),-1))),-1),IFERROR(IF((D11="")+(D11="/"),0,IF(ISNUMBER(D11),D11,IF((RIGHT(LOWER(TRIM(D11)),1)="g")*ISERROR(SEARCH("%",D11))*ISERROR(SEARCH("/",D11)),--LEFT(TRIM(D11),LEN(TRIM(D11))-1),-1))),-1),IFERROR(IF((D12="")+(D12="/"),0,IF(ISNUMBER(D12),D12,IF((RIGHT(LOWER(TRIM(D12)),1)="g")*ISERROR(SEARCH("%",D12))*ISERROR(SEARCH("/",D12)),--LEFT(TRIM(D12),LEN(TRIM(D12))-1),-1))),-1),IFERROR(IF((D13="")+(D13="/"),0,IF(ISNUMBER(D13),D13,IF((RIGHT(LOWER(TRIM(D13)),1)="g")*ISERROR(SEARCH("%",D13))*ISERROR(SEARCH("/",D13)),--LEFT(TRIM(D13),LEN(TRIM(D13))-1),-1))),-1),IFERROR(IF((D14="")+(D14="/"),0,IF(ISNUMBER(D14),D14,IF((RIGHT(LOWER(TRIM(D14)),1)="g")*ISERROR(SEARCH("%",D14))*ISERROR(SEARCH("/",D14)),--LEFT(TRIM(D14),LEN(TRIM(D14))-1),-1))),-1),IFERROR(IF((D15="")+(D15="/"),0,IF(ISNUMBER(D15),D15,IF((RIGHT(LOWER(TRIM(D15)),1)="g")*ISERROR(SEARCH("%",D15))*ISERROR(SEARCH("/",D15)),--LEFT(TRIM(D15),LEN(TRIM(D15))-1),-1))),-1),IFERROR(IF((D16="")+(D16="/"),0,IF(ISNUMBER(D16),D16,IF((RIGHT(LOWER(TRIM(D16)),1)="g")*ISERROR(SEARCH("%",D16))*ISERROR(SEARCH("/",D16)),--LEFT(TRIM(D16),LEN(TRIM(D16))-1),-1))),-1),IFERROR(IF((D17="")+(D17="/"),0,IF(ISNUMBER(D17),D17,IF((RIGHT(LOWER(TRIM(D17)),1)="g")*ISERROR(SEARCH("%",D17))*ISERROR(SEARCH("/",D17)),--LEFT(TRIM(D17),LEN(TRIM(D17))-1),-1))),-1),IFERROR(IF((D18="")+(D18="/"),0,IF(ISNUMBER(D18),D18,IF((RIGHT(LOWER(TRIM(D18)),1)="g")*ISERROR(SEARCH("%",D18))*ISERROR(SEARCH("/",D18)),--LEFT(TRIM(D18),LEN(TRIM(D18))-1),-1))),-1),IFERROR(IF((D19="")+(D19="/"),0,IF(ISNUMBER(D19),D19,IF((RIGHT(LOWER(TRIM(D19)),1)="g")*ISERROR(SEARCH("%",D19))*ISERROR(SEARCH("/",D19)),--LEFT(TRIM(D19),LEN(TRIM(D19))-1),-1))),-1),IFERROR(IF((D20="")+(D20="/"),0,IF(ISNUMBER(D20),D20,IF((RIGHT(LOWER(TRIM(D20)),1)="g")*ISERROR(SEARCH("%",D20))*ISERROR(SEARCH("/",D20)),--LEFT(TRIM(D20),LEN(TRIM(D20))-1),-1))),-1),IFERROR(IF((D21="")+(D21="/"),0,IF(ISNUMBER(D21),D21,IF((RIGHT(LOWER(TRIM(D21)),1)="g")*ISERROR(SEARCH("%",D21))*ISERROR(SEARCH("/",D21)),--LEFT(TRIM(D21),LEN(TRIM(D21))-1),-1))),-1),IFERROR(IF((D22="")+(D22="/"),0,IF(ISNUMBER(D22),D22,IF((RIGHT(LOWER(TRIM(D22)),1)="g")*ISERROR(SEARCH("%",D22))*ISERROR(SEARCH("/",D22)),--LEFT(TRIM(D22),LEN(TRIM(D22))-1),-1))),-1),IFERROR(IF((D23="")+(D23="/"),0,IF(ISNUMBER(D23),D23,IF((RIGHT(LOWER(TRIM(D23)),1)="g")*ISERROR(SEARCH("%",D23))*ISERROR(SEARCH("/",D23)),--LEFT(TRIM(D23),LEN(TRIM(D23))-1),-1))),-1))))</f>
      </c>
      <c r="E24" s="16" t="str">
        <f>IF(COUNTA(E10:E23)=0,"",IF(OR(SUMPRODUCT(($B$10:$B$23&lt;&gt;"")*(E10:E23=""))&gt;0,SUMPRODUCT(($B$10:$B$23="")*(E10:E23&lt;&gt;""))&gt;0,MIN(IFERROR(IF((E10="")+(E10="/"),0,IF(ISNUMBER(E10),E10,IF((RIGHT(LOWER(TRIM(E10)),1)="g")*ISERROR(SEARCH("%",E10))*ISERROR(SEARCH("/",E10)),--LEFT(TRIM(E10),LEN(TRIM(E10))-1),-1))),-1),IFERROR(IF((E11="")+(E11="/"),0,IF(ISNUMBER(E11),E11,IF((RIGHT(LOWER(TRIM(E11)),1)="g")*ISERROR(SEARCH("%",E11))*ISERROR(SEARCH("/",E11)),--LEFT(TRIM(E11),LEN(TRIM(E11))-1),-1))),-1),IFERROR(IF((E12="")+(E12="/"),0,IF(ISNUMBER(E12),E12,IF((RIGHT(LOWER(TRIM(E12)),1)="g")*ISERROR(SEARCH("%",E12))*ISERROR(SEARCH("/",E12)),--LEFT(TRIM(E12),LEN(TRIM(E12))-1),-1))),-1),IFERROR(IF((E13="")+(E13="/"),0,IF(ISNUMBER(E13),E13,IF((RIGHT(LOWER(TRIM(E13)),1)="g")*ISERROR(SEARCH("%",E13))*ISERROR(SEARCH("/",E13)),--LEFT(TRIM(E13),LEN(TRIM(E13))-1),-1))),-1),IFERROR(IF((E14="")+(E14="/"),0,IF(ISNUMBER(E14),E14,IF((RIGHT(LOWER(TRIM(E14)),1)="g")*ISERROR(SEARCH("%",E14))*ISERROR(SEARCH("/",E14)),--LEFT(TRIM(E14),LEN(TRIM(E14))-1),-1))),-1),IFERROR(IF((E15="")+(E15="/"),0,IF(ISNUMBER(E15),E15,IF((RIGHT(LOWER(TRIM(E15)),1)="g")*ISERROR(SEARCH("%",E15))*ISERROR(SEARCH("/",E15)),--LEFT(TRIM(E15),LEN(TRIM(E15))-1),-1))),-1),IFERROR(IF((E16="")+(E16="/"),0,IF(ISNUMBER(E16),E16,IF((RIGHT(LOWER(TRIM(E16)),1)="g")*ISERROR(SEARCH("%",E16))*ISERROR(SEARCH("/",E16)),--LEFT(TRIM(E16),LEN(TRIM(E16))-1),-1))),-1),IFERROR(IF((E17="")+(E17="/"),0,IF(ISNUMBER(E17),E17,IF((RIGHT(LOWER(TRIM(E17)),1)="g")*ISERROR(SEARCH("%",E17))*ISERROR(SEARCH("/",E17)),--LEFT(TRIM(E17),LEN(TRIM(E17))-1),-1))),-1),IFERROR(IF((E18="")+(E18="/"),0,IF(ISNUMBER(E18),E18,IF((RIGHT(LOWER(TRIM(E18)),1)="g")*ISERROR(SEARCH("%",E18))*ISERROR(SEARCH("/",E18)),--LEFT(TRIM(E18),LEN(TRIM(E18))-1),-1))),-1),IFERROR(IF((E19="")+(E19="/"),0,IF(ISNUMBER(E19),E19,IF((RIGHT(LOWER(TRIM(E19)),1)="g")*ISERROR(SEARCH("%",E19))*ISERROR(SEARCH("/",E19)),--LEFT(TRIM(E19),LEN(TRIM(E19))-1),-1))),-1),IFERROR(IF((E20="")+(E20="/"),0,IF(ISNUMBER(E20),E20,IF((RIGHT(LOWER(TRIM(E20)),1)="g")*ISERROR(SEARCH("%",E20))*ISERROR(SEARCH("/",E20)),--LEFT(TRIM(E20),LEN(TRIM(E20))-1),-1))),-1),IFERROR(IF((E21="")+(E21="/"),0,IF(ISNUMBER(E21),E21,IF((RIGHT(LOWER(TRIM(E21)),1)="g")*ISERROR(SEARCH("%",E21))*ISERROR(SEARCH("/",E21)),--LEFT(TRIM(E21),LEN(TRIM(E21))-1),-1))),-1),IFERROR(IF((E22="")+(E22="/"),0,IF(ISNUMBER(E22),E22,IF((RIGHT(LOWER(TRIM(E22)),1)="g")*ISERROR(SEARCH("%",E22))*ISERROR(SEARCH("/",E22)),--LEFT(TRIM(E22),LEN(TRIM(E22))-1),-1))),-1),IFERROR(IF((E23="")+(E23="/"),0,IF(ISNUMBER(E23),E23,IF((RIGHT(LOWER(TRIM(E23)),1)="g")*ISERROR(SEARCH("%",E23))*ISERROR(SEARCH("/",E23)),--LEFT(TRIM(E23),LEN(TRIM(E23))-1),-1))),-1))&lt;0),"",SUM(IFERROR(IF((E10="")+(E10="/"),0,IF(ISNUMBER(E10),E10,IF((RIGHT(LOWER(TRIM(E10)),1)="g")*ISERROR(SEARCH("%",E10))*ISERROR(SEARCH("/",E10)),--LEFT(TRIM(E10),LEN(TRIM(E10))-1),-1))),-1),IFERROR(IF((E11="")+(E11="/"),0,IF(ISNUMBER(E11),E11,IF((RIGHT(LOWER(TRIM(E11)),1)="g")*ISERROR(SEARCH("%",E11))*ISERROR(SEARCH("/",E11)),--LEFT(TRIM(E11),LEN(TRIM(E11))-1),-1))),-1),IFERROR(IF((E12="")+(E12="/"),0,IF(ISNUMBER(E12),E12,IF((RIGHT(LOWER(TRIM(E12)),1)="g")*ISERROR(SEARCH("%",E12))*ISERROR(SEARCH("/",E12)),--LEFT(TRIM(E12),LEN(TRIM(E12))-1),-1))),-1),IFERROR(IF((E13="")+(E13="/"),0,IF(ISNUMBER(E13),E13,IF((RIGHT(LOWER(TRIM(E13)),1)="g")*ISERROR(SEARCH("%",E13))*ISERROR(SEARCH("/",E13)),--LEFT(TRIM(E13),LEN(TRIM(E13))-1),-1))),-1),IFERROR(IF((E14="")+(E14="/"),0,IF(ISNUMBER(E14),E14,IF((RIGHT(LOWER(TRIM(E14)),1)="g")*ISERROR(SEARCH("%",E14))*ISERROR(SEARCH("/",E14)),--LEFT(TRIM(E14),LEN(TRIM(E14))-1),-1))),-1),IFERROR(IF((E15="")+(E15="/"),0,IF(ISNUMBER(E15),E15,IF((RIGHT(LOWER(TRIM(E15)),1)="g")*ISERROR(SEARCH("%",E15))*ISERROR(SEARCH("/",E15)),--LEFT(TRIM(E15),LEN(TRIM(E15))-1),-1))),-1),IFERROR(IF((E16="")+(E16="/"),0,IF(ISNUMBER(E16),E16,IF((RIGHT(LOWER(TRIM(E16)),1)="g")*ISERROR(SEARCH("%",E16))*ISERROR(SEARCH("/",E16)),--LEFT(TRIM(E16),LEN(TRIM(E16))-1),-1))),-1),IFERROR(IF((E17="")+(E17="/"),0,IF(ISNUMBER(E17),E17,IF((RIGHT(LOWER(TRIM(E17)),1)="g")*ISERROR(SEARCH("%",E17))*ISERROR(SEARCH("/",E17)),--LEFT(TRIM(E17),LEN(TRIM(E17))-1),-1))),-1),IFERROR(IF((E18="")+(E18="/"),0,IF(ISNUMBER(E18),E18,IF((RIGHT(LOWER(TRIM(E18)),1)="g")*ISERROR(SEARCH("%",E18))*ISERROR(SEARCH("/",E18)),--LEFT(TRIM(E18),LEN(TRIM(E18))-1),-1))),-1),IFERROR(IF((E19="")+(E19="/"),0,IF(ISNUMBER(E19),E19,IF((RIGHT(LOWER(TRIM(E19)),1)="g")*ISERROR(SEARCH("%",E19))*ISERROR(SEARCH("/",E19)),--LEFT(TRIM(E19),LEN(TRIM(E19))-1),-1))),-1),IFERROR(IF((E20="")+(E20="/"),0,IF(ISNUMBER(E20),E20,IF((RIGHT(LOWER(TRIM(E20)),1)="g")*ISERROR(SEARCH("%",E20))*ISERROR(SEARCH("/",E20)),--LEFT(TRIM(E20),LEN(TRIM(E20))-1),-1))),-1),IFERROR(IF((E21="")+(E21="/"),0,IF(ISNUMBER(E21),E21,IF((RIGHT(LOWER(TRIM(E21)),1)="g")*ISERROR(SEARCH("%",E21))*ISERROR(SEARCH("/",E21)),--LEFT(TRIM(E21),LEN(TRIM(E21))-1),-1))),-1),IFERROR(IF((E22="")+(E22="/"),0,IF(ISNUMBER(E22),E22,IF((RIGHT(LOWER(TRIM(E22)),1)="g")*ISERROR(SEARCH("%",E22))*ISERROR(SEARCH("/",E22)),--LEFT(TRIM(E22),LEN(TRIM(E22))-1),-1))),-1),IFERROR(IF((E23="")+(E23="/"),0,IF(ISNUMBER(E23),E23,IF((RIGHT(LOWER(TRIM(E23)),1)="g")*ISERROR(SEARCH("%",E23))*ISERROR(SEARCH("/",E23)),--LEFT(TRIM(E23),LEN(TRIM(E23))-1),-1))),-1))))</f>
      </c>
      <c r="F24" s="16" t="str">
        <f>IF(COUNTA(F10:F23)=0,"",IF(OR(SUMPRODUCT(($B$10:$B$23&lt;&gt;"")*(F10:F23=""))&gt;0,SUMPRODUCT(($B$10:$B$23="")*(F10:F23&lt;&gt;""))&gt;0,MIN(IFERROR(IF((F10="")+(F10="/"),0,IF(ISNUMBER(F10),F10,IF((RIGHT(LOWER(TRIM(F10)),1)="g")*ISERROR(SEARCH("%",F10))*ISERROR(SEARCH("/",F10)),--LEFT(TRIM(F10),LEN(TRIM(F10))-1),-1))),-1),IFERROR(IF((F11="")+(F11="/"),0,IF(ISNUMBER(F11),F11,IF((RIGHT(LOWER(TRIM(F11)),1)="g")*ISERROR(SEARCH("%",F11))*ISERROR(SEARCH("/",F11)),--LEFT(TRIM(F11),LEN(TRIM(F11))-1),-1))),-1),IFERROR(IF((F12="")+(F12="/"),0,IF(ISNUMBER(F12),F12,IF((RIGHT(LOWER(TRIM(F12)),1)="g")*ISERROR(SEARCH("%",F12))*ISERROR(SEARCH("/",F12)),--LEFT(TRIM(F12),LEN(TRIM(F12))-1),-1))),-1),IFERROR(IF((F13="")+(F13="/"),0,IF(ISNUMBER(F13),F13,IF((RIGHT(LOWER(TRIM(F13)),1)="g")*ISERROR(SEARCH("%",F13))*ISERROR(SEARCH("/",F13)),--LEFT(TRIM(F13),LEN(TRIM(F13))-1),-1))),-1),IFERROR(IF((F14="")+(F14="/"),0,IF(ISNUMBER(F14),F14,IF((RIGHT(LOWER(TRIM(F14)),1)="g")*ISERROR(SEARCH("%",F14))*ISERROR(SEARCH("/",F14)),--LEFT(TRIM(F14),LEN(TRIM(F14))-1),-1))),-1),IFERROR(IF((F15="")+(F15="/"),0,IF(ISNUMBER(F15),F15,IF((RIGHT(LOWER(TRIM(F15)),1)="g")*ISERROR(SEARCH("%",F15))*ISERROR(SEARCH("/",F15)),--LEFT(TRIM(F15),LEN(TRIM(F15))-1),-1))),-1),IFERROR(IF((F16="")+(F16="/"),0,IF(ISNUMBER(F16),F16,IF((RIGHT(LOWER(TRIM(F16)),1)="g")*ISERROR(SEARCH("%",F16))*ISERROR(SEARCH("/",F16)),--LEFT(TRIM(F16),LEN(TRIM(F16))-1),-1))),-1),IFERROR(IF((F17="")+(F17="/"),0,IF(ISNUMBER(F17),F17,IF((RIGHT(LOWER(TRIM(F17)),1)="g")*ISERROR(SEARCH("%",F17))*ISERROR(SEARCH("/",F17)),--LEFT(TRIM(F17),LEN(TRIM(F17))-1),-1))),-1),IFERROR(IF((F18="")+(F18="/"),0,IF(ISNUMBER(F18),F18,IF((RIGHT(LOWER(TRIM(F18)),1)="g")*ISERROR(SEARCH("%",F18))*ISERROR(SEARCH("/",F18)),--LEFT(TRIM(F18),LEN(TRIM(F18))-1),-1))),-1),IFERROR(IF((F19="")+(F19="/"),0,IF(ISNUMBER(F19),F19,IF((RIGHT(LOWER(TRIM(F19)),1)="g")*ISERROR(SEARCH("%",F19))*ISERROR(SEARCH("/",F19)),--LEFT(TRIM(F19),LEN(TRIM(F19))-1),-1))),-1),IFERROR(IF((F20="")+(F20="/"),0,IF(ISNUMBER(F20),F20,IF((RIGHT(LOWER(TRIM(F20)),1)="g")*ISERROR(SEARCH("%",F20))*ISERROR(SEARCH("/",F20)),--LEFT(TRIM(F20),LEN(TRIM(F20))-1),-1))),-1),IFERROR(IF((F21="")+(F21="/"),0,IF(ISNUMBER(F21),F21,IF((RIGHT(LOWER(TRIM(F21)),1)="g")*ISERROR(SEARCH("%",F21))*ISERROR(SEARCH("/",F21)),--LEFT(TRIM(F21),LEN(TRIM(F21))-1),-1))),-1),IFERROR(IF((F22="")+(F22="/"),0,IF(ISNUMBER(F22),F22,IF((RIGHT(LOWER(TRIM(F22)),1)="g")*ISERROR(SEARCH("%",F22))*ISERROR(SEARCH("/",F22)),--LEFT(TRIM(F22),LEN(TRIM(F22))-1),-1))),-1),IFERROR(IF((F23="")+(F23="/"),0,IF(ISNUMBER(F23),F23,IF((RIGHT(LOWER(TRIM(F23)),1)="g")*ISERROR(SEARCH("%",F23))*ISERROR(SEARCH("/",F23)),--LEFT(TRIM(F23),LEN(TRIM(F23))-1),-1))),-1))&lt;0),"",SUM(IFERROR(IF((F10="")+(F10="/"),0,IF(ISNUMBER(F10),F10,IF((RIGHT(LOWER(TRIM(F10)),1)="g")*ISERROR(SEARCH("%",F10))*ISERROR(SEARCH("/",F10)),--LEFT(TRIM(F10),LEN(TRIM(F10))-1),-1))),-1),IFERROR(IF((F11="")+(F11="/"),0,IF(ISNUMBER(F11),F11,IF((RIGHT(LOWER(TRIM(F11)),1)="g")*ISERROR(SEARCH("%",F11))*ISERROR(SEARCH("/",F11)),--LEFT(TRIM(F11),LEN(TRIM(F11))-1),-1))),-1),IFERROR(IF((F12="")+(F12="/"),0,IF(ISNUMBER(F12),F12,IF((RIGHT(LOWER(TRIM(F12)),1)="g")*ISERROR(SEARCH("%",F12))*ISERROR(SEARCH("/",F12)),--LEFT(TRIM(F12),LEN(TRIM(F12))-1),-1))),-1),IFERROR(IF((F13="")+(F13="/"),0,IF(ISNUMBER(F13),F13,IF((RIGHT(LOWER(TRIM(F13)),1)="g")*ISERROR(SEARCH("%",F13))*ISERROR(SEARCH("/",F13)),--LEFT(TRIM(F13),LEN(TRIM(F13))-1),-1))),-1),IFERROR(IF((F14="")+(F14="/"),0,IF(ISNUMBER(F14),F14,IF((RIGHT(LOWER(TRIM(F14)),1)="g")*ISERROR(SEARCH("%",F14))*ISERROR(SEARCH("/",F14)),--LEFT(TRIM(F14),LEN(TRIM(F14))-1),-1))),-1),IFERROR(IF((F15="")+(F15="/"),0,IF(ISNUMBER(F15),F15,IF((RIGHT(LOWER(TRIM(F15)),1)="g")*ISERROR(SEARCH("%",F15))*ISERROR(SEARCH("/",F15)),--LEFT(TRIM(F15),LEN(TRIM(F15))-1),-1))),-1),IFERROR(IF((F16="")+(F16="/"),0,IF(ISNUMBER(F16),F16,IF((RIGHT(LOWER(TRIM(F16)),1)="g")*ISERROR(SEARCH("%",F16))*ISERROR(SEARCH("/",F16)),--LEFT(TRIM(F16),LEN(TRIM(F16))-1),-1))),-1),IFERROR(IF((F17="")+(F17="/"),0,IF(ISNUMBER(F17),F17,IF((RIGHT(LOWER(TRIM(F17)),1)="g")*ISERROR(SEARCH("%",F17))*ISERROR(SEARCH("/",F17)),--LEFT(TRIM(F17),LEN(TRIM(F17))-1),-1))),-1),IFERROR(IF((F18="")+(F18="/"),0,IF(ISNUMBER(F18),F18,IF((RIGHT(LOWER(TRIM(F18)),1)="g")*ISERROR(SEARCH("%",F18))*ISERROR(SEARCH("/",F18)),--LEFT(TRIM(F18),LEN(TRIM(F18))-1),-1))),-1),IFERROR(IF((F19="")+(F19="/"),0,IF(ISNUMBER(F19),F19,IF((RIGHT(LOWER(TRIM(F19)),1)="g")*ISERROR(SEARCH("%",F19))*ISERROR(SEARCH("/",F19)),--LEFT(TRIM(F19),LEN(TRIM(F19))-1),-1))),-1),IFERROR(IF((F20="")+(F20="/"),0,IF(ISNUMBER(F20),F20,IF((RIGHT(LOWER(TRIM(F20)),1)="g")*ISERROR(SEARCH("%",F20))*ISERROR(SEARCH("/",F20)),--LEFT(TRIM(F20),LEN(TRIM(F20))-1),-1))),-1),IFERROR(IF((F21="")+(F21="/"),0,IF(ISNUMBER(F21),F21,IF((RIGHT(LOWER(TRIM(F21)),1)="g")*ISERROR(SEARCH("%",F21))*ISERROR(SEARCH("/",F21)),--LEFT(TRIM(F21),LEN(TRIM(F21))-1),-1))),-1),IFERROR(IF((F22="")+(F22="/"),0,IF(ISNUMBER(F22),F22,IF((RIGHT(LOWER(TRIM(F22)),1)="g")*ISERROR(SEARCH("%",F22))*ISERROR(SEARCH("/",F22)),--LEFT(TRIM(F22),LEN(TRIM(F22))-1),-1))),-1),IFERROR(IF((F23="")+(F23="/"),0,IF(ISNUMBER(F23),F23,IF((RIGHT(LOWER(TRIM(F23)),1)="g")*ISERROR(SEARCH("%",F23))*ISERROR(SEARCH("/",F23)),--LEFT(TRIM(F23),LEN(TRIM(F23))-1),-1))),-1))))</f>
      </c>
      <c r="G24" s="16" t="str">
        <f>IF(COUNTA(G10:G23)=0,"",IF(OR(SUMPRODUCT(($B$10:$B$23&lt;&gt;"")*(G10:G23=""))&gt;0,SUMPRODUCT(($B$10:$B$23="")*(G10:G23&lt;&gt;""))&gt;0,MIN(IFERROR(IF((G10="")+(G10="/"),0,IF(ISNUMBER(G10),G10,IF((RIGHT(LOWER(TRIM(G10)),1)="g")*ISERROR(SEARCH("%",G10))*ISERROR(SEARCH("/",G10)),--LEFT(TRIM(G10),LEN(TRIM(G10))-1),-1))),-1),IFERROR(IF((G11="")+(G11="/"),0,IF(ISNUMBER(G11),G11,IF((RIGHT(LOWER(TRIM(G11)),1)="g")*ISERROR(SEARCH("%",G11))*ISERROR(SEARCH("/",G11)),--LEFT(TRIM(G11),LEN(TRIM(G11))-1),-1))),-1),IFERROR(IF((G12="")+(G12="/"),0,IF(ISNUMBER(G12),G12,IF((RIGHT(LOWER(TRIM(G12)),1)="g")*ISERROR(SEARCH("%",G12))*ISERROR(SEARCH("/",G12)),--LEFT(TRIM(G12),LEN(TRIM(G12))-1),-1))),-1),IFERROR(IF((G13="")+(G13="/"),0,IF(ISNUMBER(G13),G13,IF((RIGHT(LOWER(TRIM(G13)),1)="g")*ISERROR(SEARCH("%",G13))*ISERROR(SEARCH("/",G13)),--LEFT(TRIM(G13),LEN(TRIM(G13))-1),-1))),-1),IFERROR(IF((G14="")+(G14="/"),0,IF(ISNUMBER(G14),G14,IF((RIGHT(LOWER(TRIM(G14)),1)="g")*ISERROR(SEARCH("%",G14))*ISERROR(SEARCH("/",G14)),--LEFT(TRIM(G14),LEN(TRIM(G14))-1),-1))),-1),IFERROR(IF((G15="")+(G15="/"),0,IF(ISNUMBER(G15),G15,IF((RIGHT(LOWER(TRIM(G15)),1)="g")*ISERROR(SEARCH("%",G15))*ISERROR(SEARCH("/",G15)),--LEFT(TRIM(G15),LEN(TRIM(G15))-1),-1))),-1),IFERROR(IF((G16="")+(G16="/"),0,IF(ISNUMBER(G16),G16,IF((RIGHT(LOWER(TRIM(G16)),1)="g")*ISERROR(SEARCH("%",G16))*ISERROR(SEARCH("/",G16)),--LEFT(TRIM(G16),LEN(TRIM(G16))-1),-1))),-1),IFERROR(IF((G17="")+(G17="/"),0,IF(ISNUMBER(G17),G17,IF((RIGHT(LOWER(TRIM(G17)),1)="g")*ISERROR(SEARCH("%",G17))*ISERROR(SEARCH("/",G17)),--LEFT(TRIM(G17),LEN(TRIM(G17))-1),-1))),-1),IFERROR(IF((G18="")+(G18="/"),0,IF(ISNUMBER(G18),G18,IF((RIGHT(LOWER(TRIM(G18)),1)="g")*ISERROR(SEARCH("%",G18))*ISERROR(SEARCH("/",G18)),--LEFT(TRIM(G18),LEN(TRIM(G18))-1),-1))),-1),IFERROR(IF((G19="")+(G19="/"),0,IF(ISNUMBER(G19),G19,IF((RIGHT(LOWER(TRIM(G19)),1)="g")*ISERROR(SEARCH("%",G19))*ISERROR(SEARCH("/",G19)),--LEFT(TRIM(G19),LEN(TRIM(G19))-1),-1))),-1),IFERROR(IF((G20="")+(G20="/"),0,IF(ISNUMBER(G20),G20,IF((RIGHT(LOWER(TRIM(G20)),1)="g")*ISERROR(SEARCH("%",G20))*ISERROR(SEARCH("/",G20)),--LEFT(TRIM(G20),LEN(TRIM(G20))-1),-1))),-1),IFERROR(IF((G21="")+(G21="/"),0,IF(ISNUMBER(G21),G21,IF((RIGHT(LOWER(TRIM(G21)),1)="g")*ISERROR(SEARCH("%",G21))*ISERROR(SEARCH("/",G21)),--LEFT(TRIM(G21),LEN(TRIM(G21))-1),-1))),-1),IFERROR(IF((G22="")+(G22="/"),0,IF(ISNUMBER(G22),G22,IF((RIGHT(LOWER(TRIM(G22)),1)="g")*ISERROR(SEARCH("%",G22))*ISERROR(SEARCH("/",G22)),--LEFT(TRIM(G22),LEN(TRIM(G22))-1),-1))),-1),IFERROR(IF((G23="")+(G23="/"),0,IF(ISNUMBER(G23),G23,IF((RIGHT(LOWER(TRIM(G23)),1)="g")*ISERROR(SEARCH("%",G23))*ISERROR(SEARCH("/",G23)),--LEFT(TRIM(G23),LEN(TRIM(G23))-1),-1))),-1))&lt;0),"",SUM(IFERROR(IF((G10="")+(G10="/"),0,IF(ISNUMBER(G10),G10,IF((RIGHT(LOWER(TRIM(G10)),1)="g")*ISERROR(SEARCH("%",G10))*ISERROR(SEARCH("/",G10)),--LEFT(TRIM(G10),LEN(TRIM(G10))-1),-1))),-1),IFERROR(IF((G11="")+(G11="/"),0,IF(ISNUMBER(G11),G11,IF((RIGHT(LOWER(TRIM(G11)),1)="g")*ISERROR(SEARCH("%",G11))*ISERROR(SEARCH("/",G11)),--LEFT(TRIM(G11),LEN(TRIM(G11))-1),-1))),-1),IFERROR(IF((G12="")+(G12="/"),0,IF(ISNUMBER(G12),G12,IF((RIGHT(LOWER(TRIM(G12)),1)="g")*ISERROR(SEARCH("%",G12))*ISERROR(SEARCH("/",G12)),--LEFT(TRIM(G12),LEN(TRIM(G12))-1),-1))),-1),IFERROR(IF((G13="")+(G13="/"),0,IF(ISNUMBER(G13),G13,IF((RIGHT(LOWER(TRIM(G13)),1)="g")*ISERROR(SEARCH("%",G13))*ISERROR(SEARCH("/",G13)),--LEFT(TRIM(G13),LEN(TRIM(G13))-1),-1))),-1),IFERROR(IF((G14="")+(G14="/"),0,IF(ISNUMBER(G14),G14,IF((RIGHT(LOWER(TRIM(G14)),1)="g")*ISERROR(SEARCH("%",G14))*ISERROR(SEARCH("/",G14)),--LEFT(TRIM(G14),LEN(TRIM(G14))-1),-1))),-1),IFERROR(IF((G15="")+(G15="/"),0,IF(ISNUMBER(G15),G15,IF((RIGHT(LOWER(TRIM(G15)),1)="g")*ISERROR(SEARCH("%",G15))*ISERROR(SEARCH("/",G15)),--LEFT(TRIM(G15),LEN(TRIM(G15))-1),-1))),-1),IFERROR(IF((G16="")+(G16="/"),0,IF(ISNUMBER(G16),G16,IF((RIGHT(LOWER(TRIM(G16)),1)="g")*ISERROR(SEARCH("%",G16))*ISERROR(SEARCH("/",G16)),--LEFT(TRIM(G16),LEN(TRIM(G16))-1),-1))),-1),IFERROR(IF((G17="")+(G17="/"),0,IF(ISNUMBER(G17),G17,IF((RIGHT(LOWER(TRIM(G17)),1)="g")*ISERROR(SEARCH("%",G17))*ISERROR(SEARCH("/",G17)),--LEFT(TRIM(G17),LEN(TRIM(G17))-1),-1))),-1),IFERROR(IF((G18="")+(G18="/"),0,IF(ISNUMBER(G18),G18,IF((RIGHT(LOWER(TRIM(G18)),1)="g")*ISERROR(SEARCH("%",G18))*ISERROR(SEARCH("/",G18)),--LEFT(TRIM(G18),LEN(TRIM(G18))-1),-1))),-1),IFERROR(IF((G19="")+(G19="/"),0,IF(ISNUMBER(G19),G19,IF((RIGHT(LOWER(TRIM(G19)),1)="g")*ISERROR(SEARCH("%",G19))*ISERROR(SEARCH("/",G19)),--LEFT(TRIM(G19),LEN(TRIM(G19))-1),-1))),-1),IFERROR(IF((G20="")+(G20="/"),0,IF(ISNUMBER(G20),G20,IF((RIGHT(LOWER(TRIM(G20)),1)="g")*ISERROR(SEARCH("%",G20))*ISERROR(SEARCH("/",G20)),--LEFT(TRIM(G20),LEN(TRIM(G20))-1),-1))),-1),IFERROR(IF((G21="")+(G21="/"),0,IF(ISNUMBER(G21),G21,IF((RIGHT(LOWER(TRIM(G21)),1)="g")*ISERROR(SEARCH("%",G21))*ISERROR(SEARCH("/",G21)),--LEFT(TRIM(G21),LEN(TRIM(G21))-1),-1))),-1),IFERROR(IF((G22="")+(G22="/"),0,IF(ISNUMBER(G22),G22,IF((RIGHT(LOWER(TRIM(G22)),1)="g")*ISERROR(SEARCH("%",G22))*ISERROR(SEARCH("/",G22)),--LEFT(TRIM(G22),LEN(TRIM(G22))-1),-1))),-1),IFERROR(IF((G23="")+(G23="/"),0,IF(ISNUMBER(G23),G23,IF((RIGHT(LOWER(TRIM(G23)),1)="g")*ISERROR(SEARCH("%",G23))*ISERROR(SEARCH("/",G23)),--LEFT(TRIM(G23),LEN(TRIM(G23))-1),-1))),-1))))</f>
      </c>
      <c r="H24" s="16" t="str">
        <f>IF(COUNTA(H10:H23)=0,"",IF(OR(SUMPRODUCT(($B$10:$B$23&lt;&gt;"")*(H10:H23=""))&gt;0,SUMPRODUCT(($B$10:$B$23="")*(H10:H23&lt;&gt;""))&gt;0,MIN(IFERROR(IF((H10="")+(H10="/"),0,IF(ISNUMBER(H10),H10,IF((RIGHT(LOWER(TRIM(H10)),1)="g")*ISERROR(SEARCH("%",H10))*ISERROR(SEARCH("/",H10)),--LEFT(TRIM(H10),LEN(TRIM(H10))-1),-1))),-1),IFERROR(IF((H11="")+(H11="/"),0,IF(ISNUMBER(H11),H11,IF((RIGHT(LOWER(TRIM(H11)),1)="g")*ISERROR(SEARCH("%",H11))*ISERROR(SEARCH("/",H11)),--LEFT(TRIM(H11),LEN(TRIM(H11))-1),-1))),-1),IFERROR(IF((H12="")+(H12="/"),0,IF(ISNUMBER(H12),H12,IF((RIGHT(LOWER(TRIM(H12)),1)="g")*ISERROR(SEARCH("%",H12))*ISERROR(SEARCH("/",H12)),--LEFT(TRIM(H12),LEN(TRIM(H12))-1),-1))),-1),IFERROR(IF((H13="")+(H13="/"),0,IF(ISNUMBER(H13),H13,IF((RIGHT(LOWER(TRIM(H13)),1)="g")*ISERROR(SEARCH("%",H13))*ISERROR(SEARCH("/",H13)),--LEFT(TRIM(H13),LEN(TRIM(H13))-1),-1))),-1),IFERROR(IF((H14="")+(H14="/"),0,IF(ISNUMBER(H14),H14,IF((RIGHT(LOWER(TRIM(H14)),1)="g")*ISERROR(SEARCH("%",H14))*ISERROR(SEARCH("/",H14)),--LEFT(TRIM(H14),LEN(TRIM(H14))-1),-1))),-1),IFERROR(IF((H15="")+(H15="/"),0,IF(ISNUMBER(H15),H15,IF((RIGHT(LOWER(TRIM(H15)),1)="g")*ISERROR(SEARCH("%",H15))*ISERROR(SEARCH("/",H15)),--LEFT(TRIM(H15),LEN(TRIM(H15))-1),-1))),-1),IFERROR(IF((H16="")+(H16="/"),0,IF(ISNUMBER(H16),H16,IF((RIGHT(LOWER(TRIM(H16)),1)="g")*ISERROR(SEARCH("%",H16))*ISERROR(SEARCH("/",H16)),--LEFT(TRIM(H16),LEN(TRIM(H16))-1),-1))),-1),IFERROR(IF((H17="")+(H17="/"),0,IF(ISNUMBER(H17),H17,IF((RIGHT(LOWER(TRIM(H17)),1)="g")*ISERROR(SEARCH("%",H17))*ISERROR(SEARCH("/",H17)),--LEFT(TRIM(H17),LEN(TRIM(H17))-1),-1))),-1),IFERROR(IF((H18="")+(H18="/"),0,IF(ISNUMBER(H18),H18,IF((RIGHT(LOWER(TRIM(H18)),1)="g")*ISERROR(SEARCH("%",H18))*ISERROR(SEARCH("/",H18)),--LEFT(TRIM(H18),LEN(TRIM(H18))-1),-1))),-1),IFERROR(IF((H19="")+(H19="/"),0,IF(ISNUMBER(H19),H19,IF((RIGHT(LOWER(TRIM(H19)),1)="g")*ISERROR(SEARCH("%",H19))*ISERROR(SEARCH("/",H19)),--LEFT(TRIM(H19),LEN(TRIM(H19))-1),-1))),-1),IFERROR(IF((H20="")+(H20="/"),0,IF(ISNUMBER(H20),H20,IF((RIGHT(LOWER(TRIM(H20)),1)="g")*ISERROR(SEARCH("%",H20))*ISERROR(SEARCH("/",H20)),--LEFT(TRIM(H20),LEN(TRIM(H20))-1),-1))),-1),IFERROR(IF((H21="")+(H21="/"),0,IF(ISNUMBER(H21),H21,IF((RIGHT(LOWER(TRIM(H21)),1)="g")*ISERROR(SEARCH("%",H21))*ISERROR(SEARCH("/",H21)),--LEFT(TRIM(H21),LEN(TRIM(H21))-1),-1))),-1),IFERROR(IF((H22="")+(H22="/"),0,IF(ISNUMBER(H22),H22,IF((RIGHT(LOWER(TRIM(H22)),1)="g")*ISERROR(SEARCH("%",H22))*ISERROR(SEARCH("/",H22)),--LEFT(TRIM(H22),LEN(TRIM(H22))-1),-1))),-1),IFERROR(IF((H23="")+(H23="/"),0,IF(ISNUMBER(H23),H23,IF((RIGHT(LOWER(TRIM(H23)),1)="g")*ISERROR(SEARCH("%",H23))*ISERROR(SEARCH("/",H23)),--LEFT(TRIM(H23),LEN(TRIM(H23))-1),-1))),-1))&lt;0),"",SUM(IFERROR(IF((H10="")+(H10="/"),0,IF(ISNUMBER(H10),H10,IF((RIGHT(LOWER(TRIM(H10)),1)="g")*ISERROR(SEARCH("%",H10))*ISERROR(SEARCH("/",H10)),--LEFT(TRIM(H10),LEN(TRIM(H10))-1),-1))),-1),IFERROR(IF((H11="")+(H11="/"),0,IF(ISNUMBER(H11),H11,IF((RIGHT(LOWER(TRIM(H11)),1)="g")*ISERROR(SEARCH("%",H11))*ISERROR(SEARCH("/",H11)),--LEFT(TRIM(H11),LEN(TRIM(H11))-1),-1))),-1),IFERROR(IF((H12="")+(H12="/"),0,IF(ISNUMBER(H12),H12,IF((RIGHT(LOWER(TRIM(H12)),1)="g")*ISERROR(SEARCH("%",H12))*ISERROR(SEARCH("/",H12)),--LEFT(TRIM(H12),LEN(TRIM(H12))-1),-1))),-1),IFERROR(IF((H13="")+(H13="/"),0,IF(ISNUMBER(H13),H13,IF((RIGHT(LOWER(TRIM(H13)),1)="g")*ISERROR(SEARCH("%",H13))*ISERROR(SEARCH("/",H13)),--LEFT(TRIM(H13),LEN(TRIM(H13))-1),-1))),-1),IFERROR(IF((H14="")+(H14="/"),0,IF(ISNUMBER(H14),H14,IF((RIGHT(LOWER(TRIM(H14)),1)="g")*ISERROR(SEARCH("%",H14))*ISERROR(SEARCH("/",H14)),--LEFT(TRIM(H14),LEN(TRIM(H14))-1),-1))),-1),IFERROR(IF((H15="")+(H15="/"),0,IF(ISNUMBER(H15),H15,IF((RIGHT(LOWER(TRIM(H15)),1)="g")*ISERROR(SEARCH("%",H15))*ISERROR(SEARCH("/",H15)),--LEFT(TRIM(H15),LEN(TRIM(H15))-1),-1))),-1),IFERROR(IF((H16="")+(H16="/"),0,IF(ISNUMBER(H16),H16,IF((RIGHT(LOWER(TRIM(H16)),1)="g")*ISERROR(SEARCH("%",H16))*ISERROR(SEARCH("/",H16)),--LEFT(TRIM(H16),LEN(TRIM(H16))-1),-1))),-1),IFERROR(IF((H17="")+(H17="/"),0,IF(ISNUMBER(H17),H17,IF((RIGHT(LOWER(TRIM(H17)),1)="g")*ISERROR(SEARCH("%",H17))*ISERROR(SEARCH("/",H17)),--LEFT(TRIM(H17),LEN(TRIM(H17))-1),-1))),-1),IFERROR(IF((H18="")+(H18="/"),0,IF(ISNUMBER(H18),H18,IF((RIGHT(LOWER(TRIM(H18)),1)="g")*ISERROR(SEARCH("%",H18))*ISERROR(SEARCH("/",H18)),--LEFT(TRIM(H18),LEN(TRIM(H18))-1),-1))),-1),IFERROR(IF((H19="")+(H19="/"),0,IF(ISNUMBER(H19),H19,IF((RIGHT(LOWER(TRIM(H19)),1)="g")*ISERROR(SEARCH("%",H19))*ISERROR(SEARCH("/",H19)),--LEFT(TRIM(H19),LEN(TRIM(H19))-1),-1))),-1),IFERROR(IF((H20="")+(H20="/"),0,IF(ISNUMBER(H20),H20,IF((RIGHT(LOWER(TRIM(H20)),1)="g")*ISERROR(SEARCH("%",H20))*ISERROR(SEARCH("/",H20)),--LEFT(TRIM(H20),LEN(TRIM(H20))-1),-1))),-1),IFERROR(IF((H21="")+(H21="/"),0,IF(ISNUMBER(H21),H21,IF((RIGHT(LOWER(TRIM(H21)),1)="g")*ISERROR(SEARCH("%",H21))*ISERROR(SEARCH("/",H21)),--LEFT(TRIM(H21),LEN(TRIM(H21))-1),-1))),-1),IFERROR(IF((H22="")+(H22="/"),0,IF(ISNUMBER(H22),H22,IF((RIGHT(LOWER(TRIM(H22)),1)="g")*ISERROR(SEARCH("%",H22))*ISERROR(SEARCH("/",H22)),--LEFT(TRIM(H22),LEN(TRIM(H22))-1),-1))),-1),IFERROR(IF((H23="")+(H23="/"),0,IF(ISNUMBER(H23),H23,IF((RIGHT(LOWER(TRIM(H23)),1)="g")*ISERROR(SEARCH("%",H23))*ISERROR(SEARCH("/",H23)),--LEFT(TRIM(H23),LEN(TRIM(H23))-1),-1))),-1))))</f>
      </c>
    </row>
    <row r="25" ht="23" customHeight="1" outlineLevel="1">
      <c r="A25" s="12"/>
      <c r="B25" s="6" t="str">
        <v>固体质量（g）</v>
      </c>
      <c r="C25" s="6"/>
      <c r="D25" s="6"/>
      <c r="E25" s="6"/>
      <c r="F25" s="6"/>
      <c r="G25" s="6"/>
      <c r="H25" s="6"/>
    </row>
    <row r="26" ht="25" customHeight="1" outlineLevel="1">
      <c r="A26" s="12"/>
      <c r="B26" s="6" t="str">
        <v>理论半封端固含（%）</v>
      </c>
      <c r="C26" s="17"/>
      <c r="D26" s="17"/>
      <c r="E26" s="17"/>
      <c r="F26" s="17"/>
      <c r="G26" s="17"/>
      <c r="H26" s="17"/>
    </row>
    <row r="27" ht="25" customHeight="1" outlineLevel="1">
      <c r="A27" s="12"/>
      <c r="B27" s="6" t="str">
        <v>实际半封端固含（%）</v>
      </c>
      <c r="C27" s="17"/>
      <c r="D27" s="17"/>
      <c r="E27" s="17"/>
      <c r="F27" s="17"/>
      <c r="G27" s="17"/>
      <c r="H27" s="17"/>
    </row>
    <row r="28" ht="25" customHeight="1" outlineLevel="1">
      <c r="A28" s="12"/>
      <c r="B28" s="6" t="str">
        <v>理论羟值（mg KOH/g）</v>
      </c>
      <c r="C28" s="6"/>
      <c r="D28" s="6"/>
      <c r="E28" s="6"/>
      <c r="F28" s="6"/>
      <c r="G28" s="6"/>
      <c r="H28" s="6"/>
    </row>
    <row r="29" ht="25" customHeight="1" outlineLevel="1">
      <c r="A29" s="12"/>
      <c r="B29" s="6" t="str">
        <v>转化率（%）</v>
      </c>
      <c r="C29" s="17"/>
      <c r="D29" s="17"/>
      <c r="E29" s="17"/>
      <c r="F29" s="17"/>
      <c r="G29" s="17"/>
      <c r="H29" s="17"/>
    </row>
    <row r="30" ht="25" customHeight="1" outlineLevel="1">
      <c r="A30" s="12"/>
      <c r="B30" s="6" t="str">
        <v>理论产物质量（g）</v>
      </c>
      <c r="C30" s="6"/>
      <c r="D30" s="6"/>
      <c r="E30" s="6"/>
      <c r="F30" s="6"/>
      <c r="G30" s="6"/>
      <c r="H30" s="6"/>
    </row>
    <row r="31" ht="25" customHeight="1" outlineLevel="1">
      <c r="A31" s="12"/>
      <c r="B31" s="6" t="str">
        <v>产物质量（g）</v>
      </c>
      <c r="C31" s="6"/>
      <c r="D31" s="6"/>
      <c r="E31" s="6"/>
      <c r="F31" s="6"/>
      <c r="G31" s="6"/>
      <c r="H31" s="6"/>
    </row>
    <row r="32" ht="25" customHeight="1" outlineLevel="1">
      <c r="A32" s="12"/>
      <c r="B32" s="6" t="str">
        <v>回收率（%）</v>
      </c>
      <c r="C32" s="17"/>
      <c r="D32" s="17"/>
      <c r="E32" s="17"/>
      <c r="F32" s="17"/>
      <c r="G32" s="17"/>
      <c r="H32" s="17"/>
    </row>
    <row r="33" ht="25" customHeight="1" outlineLevel="1">
      <c r="A33" s="12"/>
      <c r="B33" s="6" t="str">
        <v>氟含量（%）</v>
      </c>
      <c r="C33" s="17"/>
      <c r="D33" s="17"/>
      <c r="E33" s="17"/>
      <c r="F33" s="17"/>
      <c r="G33" s="17"/>
      <c r="H33" s="17"/>
    </row>
    <row r="34" ht="25" customHeight="1" outlineLevel="1">
      <c r="A34" s="12"/>
      <c r="B34" s="6" t="str">
        <v>引发剂含量（%）</v>
      </c>
      <c r="C34" s="17"/>
      <c r="D34" s="17"/>
      <c r="E34" s="17"/>
      <c r="F34" s="17"/>
      <c r="G34" s="17"/>
      <c r="H34" s="17"/>
    </row>
    <row r="35" ht="23" customHeight="1" outlineLevel="1">
      <c r="A35" s="12"/>
      <c r="B35" s="6"/>
      <c r="C35" s="6"/>
      <c r="D35" s="6"/>
      <c r="E35" s="6"/>
      <c r="F35" s="6"/>
      <c r="G35" s="6"/>
      <c r="H35" s="6"/>
    </row>
    <row r="36" ht="29" customHeight="1">
      <c r="A36" s="12" t="str">
        <v>合成工艺</v>
      </c>
      <c r="B36" s="6" t="str">
        <v>工艺简介</v>
      </c>
      <c r="C36" s="6"/>
      <c r="D36" s="6"/>
      <c r="E36" s="6"/>
      <c r="F36" s="6"/>
      <c r="G36" s="6"/>
      <c r="H36" s="6"/>
    </row>
    <row r="37" ht="42" customHeight="1" outlineLevel="1">
      <c r="A37" s="12"/>
      <c r="B37" s="6" t="str">
        <v>反应温度（℃）
油温 / 料温</v>
      </c>
      <c r="C37" s="6"/>
      <c r="D37" s="6"/>
      <c r="E37" s="6"/>
      <c r="F37" s="6"/>
      <c r="G37" s="6"/>
      <c r="H37" s="6"/>
    </row>
    <row r="38" ht="29" customHeight="1" outlineLevel="1">
      <c r="A38" s="12"/>
      <c r="B38" s="6" t="str">
        <v>真空温度（℃）</v>
      </c>
      <c r="C38" s="6"/>
      <c r="D38" s="6"/>
      <c r="E38" s="6"/>
      <c r="F38" s="6"/>
      <c r="G38" s="6"/>
      <c r="H38" s="6"/>
    </row>
    <row r="39" ht="42" customHeight="1" outlineLevel="1">
      <c r="A39" s="12"/>
      <c r="B39" s="6" t="str">
        <v>滴加温度（℃）
油温 / 料温</v>
      </c>
      <c r="C39" s="6"/>
      <c r="D39" s="6"/>
      <c r="E39" s="6"/>
      <c r="F39" s="6"/>
      <c r="G39" s="6"/>
      <c r="H39" s="6"/>
    </row>
    <row r="40" ht="29" customHeight="1" outlineLevel="1">
      <c r="A40" s="12"/>
      <c r="B40" s="6" t="str">
        <v>反应时间（s/min/h）</v>
      </c>
      <c r="C40" s="6"/>
      <c r="D40" s="6"/>
      <c r="E40" s="6"/>
      <c r="F40" s="6"/>
      <c r="G40" s="6"/>
      <c r="H40" s="6"/>
    </row>
    <row r="41" ht="23" customHeight="1" outlineLevel="1">
      <c r="A41" s="12"/>
      <c r="B41" s="6"/>
      <c r="C41" s="6"/>
      <c r="D41" s="6"/>
      <c r="E41" s="6"/>
      <c r="F41" s="6"/>
      <c r="G41" s="6"/>
      <c r="H41" s="6"/>
    </row>
    <row r="42" ht="23" customHeight="1" outlineLevel="1">
      <c r="A42" s="12"/>
      <c r="B42" s="6"/>
      <c r="C42" s="6"/>
      <c r="D42" s="6"/>
      <c r="E42" s="6"/>
      <c r="F42" s="6"/>
      <c r="G42" s="6"/>
      <c r="H42" s="6"/>
    </row>
    <row r="43" ht="25" customHeight="1">
      <c r="A43" s="12" t="str">
        <v>出料外观</v>
      </c>
      <c r="B43" s="6" t="str">
        <v>提纯前</v>
      </c>
      <c r="C43" s="6"/>
      <c r="D43" s="6"/>
      <c r="E43" s="6"/>
      <c r="F43" s="6"/>
      <c r="G43" s="6"/>
      <c r="H43" s="6"/>
    </row>
    <row r="44" ht="25" customHeight="1" outlineLevel="1">
      <c r="A44" s="12"/>
      <c r="B44" s="6" t="str">
        <v>提纯后</v>
      </c>
      <c r="C44" s="6"/>
      <c r="D44" s="6"/>
      <c r="E44" s="6"/>
      <c r="F44" s="6"/>
      <c r="G44" s="6"/>
      <c r="H44" s="6"/>
    </row>
    <row r="45" ht="25" customHeight="1" outlineLevel="1">
      <c r="A45" s="12"/>
      <c r="B45" s="6" t="str">
        <v>冷却后</v>
      </c>
      <c r="C45" s="6"/>
      <c r="D45" s="6"/>
      <c r="E45" s="6"/>
      <c r="F45" s="6"/>
      <c r="G45" s="6"/>
      <c r="H45" s="6"/>
    </row>
    <row r="46" ht="42" customHeight="1">
      <c r="A46" s="12" t="str">
        <v>测试结果</v>
      </c>
      <c r="B46" s="6" t="str">
        <v>黏度
cP（mPa·s）/ KU / s</v>
      </c>
      <c r="C46" s="6"/>
      <c r="D46" s="6"/>
      <c r="E46" s="6"/>
      <c r="F46" s="6"/>
      <c r="G46" s="6"/>
      <c r="H46" s="6"/>
    </row>
    <row r="47" ht="25" customHeight="1" outlineLevel="1">
      <c r="A47" s="12"/>
      <c r="B47" s="6" t="str">
        <v>固含（%）</v>
      </c>
      <c r="C47" s="17"/>
      <c r="D47" s="17"/>
      <c r="E47" s="17"/>
      <c r="F47" s="17"/>
      <c r="G47" s="17"/>
      <c r="H47" s="17"/>
    </row>
    <row r="48" ht="25" customHeight="1" outlineLevel="1">
      <c r="A48" s="12"/>
      <c r="B48" s="6" t="str">
        <v>折光率</v>
      </c>
      <c r="C48" s="6"/>
      <c r="D48" s="6"/>
      <c r="E48" s="6"/>
      <c r="F48" s="6"/>
      <c r="G48" s="6"/>
      <c r="H48" s="6"/>
    </row>
    <row r="49" ht="25" customHeight="1" outlineLevel="1">
      <c r="A49" s="12"/>
      <c r="B49" s="6" t="str">
        <v>含水率（%）</v>
      </c>
      <c r="C49" s="18"/>
      <c r="D49" s="18"/>
      <c r="E49" s="18"/>
      <c r="F49" s="18"/>
      <c r="G49" s="18"/>
      <c r="H49" s="18"/>
    </row>
    <row r="50" ht="23" customHeight="1" outlineLevel="1">
      <c r="A50" s="12"/>
      <c r="B50" s="6"/>
      <c r="C50" s="6"/>
      <c r="D50" s="6"/>
      <c r="E50" s="6"/>
      <c r="F50" s="6"/>
      <c r="G50" s="6"/>
      <c r="H50" s="6"/>
    </row>
    <row r="51" ht="29" customHeight="1">
      <c r="A51" s="6" t="str">
        <v>最优方案</v>
      </c>
      <c r="B51" s="6"/>
      <c r="C51" s="6"/>
      <c r="D51" s="6"/>
      <c r="E51" s="6"/>
      <c r="F51" s="6"/>
      <c r="G51" s="6"/>
      <c r="H51" s="6"/>
    </row>
    <row r="52" ht="29" customHeight="1">
      <c r="A52" s="6" t="str">
        <v>备注</v>
      </c>
      <c r="B52" s="6"/>
      <c r="C52" s="6"/>
      <c r="D52" s="6"/>
      <c r="E52" s="6"/>
      <c r="F52" s="6"/>
      <c r="G52" s="6"/>
      <c r="H52" s="6"/>
    </row>
    <row r="53" ht="29" customHeight="1">
      <c r="A53" s="12" t="str">
        <v>小结</v>
      </c>
      <c r="B53" s="6"/>
      <c r="C53" s="6"/>
      <c r="D53" s="6"/>
      <c r="E53" s="6"/>
      <c r="F53" s="6"/>
      <c r="G53" s="6"/>
      <c r="H53" s="6"/>
    </row>
    <row r="54" ht="29" customHeight="1">
      <c r="A54" s="12"/>
      <c r="B54" s="6"/>
      <c r="C54" s="6"/>
      <c r="D54" s="6"/>
      <c r="E54" s="6"/>
      <c r="F54" s="6"/>
      <c r="G54" s="6"/>
      <c r="H54" s="6"/>
    </row>
  </sheetData>
  <mergeCells count="16">
    <mergeCell ref="B1:H1"/>
    <mergeCell ref="B3:H3"/>
    <mergeCell ref="B4:H4"/>
    <mergeCell ref="B5:H5"/>
    <mergeCell ref="B6:H6"/>
    <mergeCell ref="B7:H7"/>
    <mergeCell ref="B52:H52"/>
    <mergeCell ref="B53:H54"/>
    <mergeCell ref="A10:A23"/>
    <mergeCell ref="A24:A35"/>
    <mergeCell ref="A36:A42"/>
    <mergeCell ref="A43:A45"/>
    <mergeCell ref="A46:A50"/>
    <mergeCell ref="A53:A54"/>
    <mergeCell ref="A8:B8"/>
    <mergeCell ref="A9:B9"/>
  </mergeCells>
  <dataValidations count="1">
    <dataValidation type="custom" allowBlank="1" showInputMessage="0" showErrorMessage="1" errorStyle="stop" sqref="C10:H23" errorTitle="物料用量格式不正确" error="可填非负数字、带g的用量（如90g）或/。">
      <formula1>IFERROR(IF((C10="")+(C10="/"),0,IF(ISNUMBER(C10),C10,IF((RIGHT(LOWER(TRIM(C10)),1)="g")*ISERROR(SEARCH("%",C10))*ISERROR(SEARCH("/",C10)),--LEFT(TRIM(C10),LEN(TRIM(C10))-1),-1))),-1)&gt;=0</formula1>
    </dataValidation>
  </dataValidations>
  <printOptions horizontalCentered="1" gridLines="0" headings="0"/>
  <pageMargins left="0.25" right="0.25" top="0.35" bottom="0.35" header="0.15" footer="0.15"/>
  <pageSetup paperSize="9" orientation="landscape" fitToWidth="1" fitToHeight="0"/>
  <headerFooter>
    <oddFooter>&amp;L合成实验记录&amp;C第 &amp;P 页 / 共 &amp;N 页</oddFooter>
  </headerFooter>
</worksheet>
</file>