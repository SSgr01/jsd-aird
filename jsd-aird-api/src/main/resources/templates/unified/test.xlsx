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d923183b4d4fe0" /></Relationships>
</file>

<file path=xl/workbook.xml><?xml version="1.0" encoding="utf-8"?>
<workbook xmlns="http://schemas.openxmlformats.org/spreadsheetml/2006/main" xmlns:r="http://schemas.openxmlformats.org/officeDocument/2006/relationships">
  <sheets>
    <sheet name="测试实验" sheetId="1" r:id="R080db921eb134db9"/>
  </sheets>
  <definedNames>
    <definedName name="_xlnm.Print_Area" localSheetId="0">'测试实验'!$A$1:$H$138</definedName>
    <definedName name="_xlnm.Print_Titles" localSheetId="0">'测试实验'!$1:$7</definedName>
  </definedNames>
  <calcPr fullCalcOnLoad="1" forceFullCalc="1"/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0.0"/>
    <x:numFmt numFmtId="202" formatCode="0%"/>
    <x:numFmt numFmtId="203" formatCode="0.###"/>
    <x:numFmt numFmtId="204" formatCode="0.00%"/>
    <x:numFmt numFmtId="205" formatCode="0.000%"/>
  </x:numFmts>
  <x:fonts count="4">
    <x:font>
      <x:sz val="11"/>
      <x:name val="Carlito"/>
    </x:font>
    <x:font>
      <x:sz val="11"/>
      <x:color rgb="FF000000"/>
      <x:name val="宋体"/>
    </x:font>
    <x:font>
      <x:b/>
      <x:sz val="13"/>
      <x:color rgb="FF000000"/>
      <x:name val="宋体"/>
    </x:font>
    <x:font>
      <x:b/>
      <x:sz val="11"/>
      <x:color rgb="FF000000"/>
      <x:name val="宋体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2F2F2"/>
      </x:patternFill>
    </x:fill>
  </x:fills>
  <x:borders count="2">
    <x:border>
      <x:left/>
      <x:right/>
      <x:top/>
      <x:bottom/>
      <x:diagonal/>
    </x:border>
    <x:border>
      <x:left style="thin">
        <x:color rgb="FF555555"/>
      </x:left>
      <x:right style="thin">
        <x:color rgb="FF555555"/>
      </x:right>
      <x:top style="thin">
        <x:color rgb="FF555555"/>
      </x:top>
      <x:bottom style="thin">
        <x:color rgb="FF555555"/>
      </x:bottom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center" vertical="center" wrapText="1"/>
    </x:xf>
    <x:xf numFmtId="201" fontId="1" fillId="2" borderId="1" xfId="0" applyNumberFormat="1" applyFont="1" applyFill="1" applyBorder="1" applyAlignment="1">
      <x:alignment horizontal="center" vertical="center" wrapText="1"/>
    </x:xf>
    <x:xf numFmtId="202" fontId="1" fillId="2" borderId="1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203" fontId="1" fillId="2" borderId="1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203" fontId="3" fillId="3" borderId="1" xfId="0" applyNumberFormat="1" applyFont="1" applyFill="1" applyBorder="1" applyAlignment="1">
      <x:alignment horizontal="center" vertical="center" wrapText="1"/>
    </x:xf>
    <x:xf numFmtId="204" fontId="1" fillId="2" borderId="1" xfId="0" applyNumberFormat="1" applyFont="1" applyFill="1" applyBorder="1" applyAlignment="1">
      <x:alignment horizontal="center" vertical="center" wrapText="1"/>
    </x:xf>
    <x:xf numFmtId="205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d2c9c04d1843cb" /><Relationship Type="http://schemas.openxmlformats.org/officeDocument/2006/relationships/theme" Target="/xl/theme/theme1.xml" Id="Rf029fb98403f43e8" /><Relationship Type="http://schemas.openxmlformats.org/officeDocument/2006/relationships/sharedStrings" Target="/xl/sharedStrings.xml" Id="Rbfeaf3c9d738448d" /><Relationship Type="http://schemas.openxmlformats.org/officeDocument/2006/relationships/worksheet" Target="/xl/worksheets/sheet1.xml" Id="R080db921eb134db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 showOutlineSymbols="1"/>
    <pageSetUpPr fitToPage="1" autoPageBreaks="1"/>
  </sheetPr>
  <sheetViews>
    <sheetView showGridLines="0" workbookViewId="0" showOutlineSymbols="1" zoomScale="85">
      <pane ySplit="2" topLeftCell="A3" activePane="bottomLeft" state="frozen"/>
    </sheetView>
  </sheetViews>
  <sheetFormatPr defaultRowHeight="15" outlineLevelRow="2"/>
  <cols>
    <col min="1" max="1" width="13" hidden="0" customWidth="1"/>
    <col min="2" max="2" width="31" hidden="0" customWidth="1"/>
    <col min="3" max="3" width="16" hidden="0" customWidth="1"/>
    <col min="4" max="4" width="16" hidden="0" customWidth="1"/>
    <col min="5" max="5" width="16" hidden="0" customWidth="1"/>
    <col min="6" max="6" width="16" hidden="0" customWidth="1"/>
    <col min="7" max="7" width="16" hidden="0" customWidth="1"/>
    <col min="8" max="8" width="16" hidden="0" customWidth="1"/>
  </cols>
  <sheetData>
    <row r="1" ht="32" customHeight="1">
      <c r="A1" s="7" t="str">
        <v>实验题目</v>
      </c>
      <c r="B1" s="11"/>
      <c r="C1" s="11"/>
      <c r="D1" s="11"/>
      <c r="E1" s="11"/>
      <c r="F1" s="11"/>
      <c r="G1" s="11"/>
      <c r="H1" s="11"/>
    </row>
    <row r="2" ht="28" customHeight="1">
      <c r="A2" s="6" t="str">
        <v>实验人</v>
      </c>
      <c r="B2" s="6"/>
      <c r="C2" s="6" t="str">
        <v>日期</v>
      </c>
      <c r="D2" s="8"/>
      <c r="E2" s="6" t="str">
        <v>环境温度（℃）</v>
      </c>
      <c r="F2" s="9"/>
      <c r="G2" s="6" t="str">
        <v>相对湿度（%）</v>
      </c>
      <c r="H2" s="10"/>
    </row>
    <row r="3" ht="26" customHeight="1">
      <c r="A3" s="6" t="str">
        <v>关联项目</v>
      </c>
      <c r="B3" s="11"/>
      <c r="C3" s="11"/>
      <c r="D3" s="11"/>
      <c r="E3" s="11"/>
      <c r="F3" s="11"/>
      <c r="G3" s="11"/>
      <c r="H3" s="11"/>
    </row>
    <row r="4" ht="23" customHeight="1">
      <c r="A4" s="6" t="str">
        <v>项目编号</v>
      </c>
      <c r="B4" s="11"/>
      <c r="C4" s="11"/>
      <c r="D4" s="11"/>
      <c r="E4" s="11"/>
      <c r="F4" s="11"/>
      <c r="G4" s="11"/>
      <c r="H4" s="11"/>
    </row>
    <row r="5" ht="42" customHeight="1">
      <c r="A5" s="6" t="str">
        <v>实验背景</v>
      </c>
      <c r="B5" s="11"/>
      <c r="C5" s="11"/>
      <c r="D5" s="11"/>
      <c r="E5" s="11"/>
      <c r="F5" s="11"/>
      <c r="G5" s="11"/>
      <c r="H5" s="11"/>
    </row>
    <row r="6" ht="34" customHeight="1">
      <c r="A6" s="6" t="str">
        <v>实验目的</v>
      </c>
      <c r="B6" s="11"/>
      <c r="C6" s="11"/>
      <c r="D6" s="11"/>
      <c r="E6" s="11"/>
      <c r="F6" s="11"/>
      <c r="G6" s="11"/>
      <c r="H6" s="11"/>
    </row>
    <row r="7" ht="28" customHeight="1">
      <c r="A7" s="12" t="str">
        <v>实验条件</v>
      </c>
      <c r="B7" s="6" t="str">
        <v>样品/方案编号</v>
      </c>
      <c r="C7" s="13"/>
      <c r="D7" s="13"/>
      <c r="E7" s="13"/>
      <c r="F7" s="13"/>
      <c r="G7" s="13"/>
      <c r="H7" s="13"/>
    </row>
    <row r="8" ht="42" customHeight="1">
      <c r="A8" s="12"/>
      <c r="B8" s="6" t="str">
        <v>实验素材
基材 / 厚度（mm/μm）</v>
      </c>
      <c r="C8" s="6"/>
      <c r="D8" s="6"/>
      <c r="E8" s="6"/>
      <c r="F8" s="6"/>
      <c r="G8" s="6"/>
      <c r="H8" s="6"/>
    </row>
    <row r="9" ht="29" customHeight="1">
      <c r="A9" s="12"/>
      <c r="B9" s="6" t="str">
        <v>施工工艺 / 规格</v>
      </c>
      <c r="C9" s="6"/>
      <c r="D9" s="6"/>
      <c r="E9" s="6"/>
      <c r="F9" s="6"/>
      <c r="G9" s="6"/>
      <c r="H9" s="6"/>
    </row>
    <row r="10" ht="29" customHeight="1">
      <c r="A10" s="12"/>
      <c r="B10" s="6" t="str">
        <v>固化方式</v>
      </c>
      <c r="C10" s="6"/>
      <c r="D10" s="6"/>
      <c r="E10" s="6"/>
      <c r="F10" s="6"/>
      <c r="G10" s="6"/>
      <c r="H10" s="6"/>
    </row>
    <row r="11" ht="29" customHeight="1">
      <c r="A11" s="12"/>
      <c r="B11" s="6" t="str">
        <v>固化设备 / 光源</v>
      </c>
      <c r="C11" s="6"/>
      <c r="D11" s="6"/>
      <c r="E11" s="6"/>
      <c r="F11" s="6"/>
      <c r="G11" s="6"/>
      <c r="H11" s="6"/>
    </row>
    <row r="12" ht="29" customHeight="1">
      <c r="A12" s="12"/>
      <c r="B12" s="6" t="str">
        <v>固化温度（℃）</v>
      </c>
      <c r="C12" s="14"/>
      <c r="D12" s="14"/>
      <c r="E12" s="14"/>
      <c r="F12" s="14"/>
      <c r="G12" s="14"/>
      <c r="H12" s="14"/>
    </row>
    <row r="13" ht="29" customHeight="1">
      <c r="A13" s="12"/>
      <c r="B13" s="6" t="str">
        <v>固化时间（s/min/h）</v>
      </c>
      <c r="C13" s="6"/>
      <c r="D13" s="6"/>
      <c r="E13" s="6"/>
      <c r="F13" s="6"/>
      <c r="G13" s="6"/>
      <c r="H13" s="6"/>
    </row>
    <row r="14" ht="29" customHeight="1">
      <c r="A14" s="12"/>
      <c r="B14" s="6" t="str">
        <v>光源波长 / 波段（nm）</v>
      </c>
      <c r="C14" s="6"/>
      <c r="D14" s="6"/>
      <c r="E14" s="6"/>
      <c r="F14" s="6"/>
      <c r="G14" s="6"/>
      <c r="H14" s="6"/>
    </row>
    <row r="15" ht="29" customHeight="1">
      <c r="A15" s="12"/>
      <c r="B15" s="6" t="str">
        <v>光强（mW/cm²）</v>
      </c>
      <c r="C15" s="14"/>
      <c r="D15" s="14"/>
      <c r="E15" s="14"/>
      <c r="F15" s="14"/>
      <c r="G15" s="14"/>
      <c r="H15" s="14"/>
    </row>
    <row r="16" ht="29" customHeight="1">
      <c r="A16" s="12"/>
      <c r="B16" s="6" t="str">
        <v>光能量（mJ/cm²）</v>
      </c>
      <c r="C16" s="14"/>
      <c r="D16" s="14"/>
      <c r="E16" s="14"/>
      <c r="F16" s="14"/>
      <c r="G16" s="14"/>
      <c r="H16" s="14"/>
    </row>
    <row r="17" ht="29" customHeight="1">
      <c r="A17" s="12"/>
      <c r="B17" s="6" t="str">
        <v>电子束能量（keV/MeV）</v>
      </c>
      <c r="C17" s="6"/>
      <c r="D17" s="6"/>
      <c r="E17" s="6"/>
      <c r="F17" s="6"/>
      <c r="G17" s="6"/>
      <c r="H17" s="6"/>
    </row>
    <row r="18" ht="29" customHeight="1">
      <c r="A18" s="12"/>
      <c r="B18" s="6" t="str">
        <v>电子束剂量（kGy）</v>
      </c>
      <c r="C18" s="14"/>
      <c r="D18" s="14"/>
      <c r="E18" s="14"/>
      <c r="F18" s="14"/>
      <c r="G18" s="14"/>
      <c r="H18" s="14"/>
    </row>
    <row r="19" ht="23" customHeight="1">
      <c r="A19" s="12" t="str">
        <v>树脂物性</v>
      </c>
      <c r="B19" s="6" t="str">
        <v>原料 / 树脂样品编号</v>
      </c>
      <c r="C19" s="6"/>
      <c r="D19" s="6"/>
      <c r="E19" s="6"/>
      <c r="F19" s="6"/>
      <c r="G19" s="6"/>
      <c r="H19" s="6"/>
    </row>
    <row r="20" ht="62" customHeight="1" outlineLevel="1">
      <c r="A20" s="12"/>
      <c r="B20" s="6" t="str">
        <v>组成说明</v>
      </c>
      <c r="C20" s="6"/>
      <c r="D20" s="6"/>
      <c r="E20" s="6"/>
      <c r="F20" s="6"/>
      <c r="G20" s="6"/>
      <c r="H20" s="6"/>
    </row>
    <row r="21" ht="42" customHeight="1" outlineLevel="1">
      <c r="A21" s="12"/>
      <c r="B21" s="6" t="str">
        <v>外观</v>
      </c>
      <c r="C21" s="6"/>
      <c r="D21" s="6"/>
      <c r="E21" s="6"/>
      <c r="F21" s="6"/>
      <c r="G21" s="6"/>
      <c r="H21" s="6"/>
    </row>
    <row r="22" ht="23" customHeight="1" outlineLevel="1">
      <c r="A22" s="12"/>
      <c r="B22" s="6" t="str">
        <v>固含（%）</v>
      </c>
      <c r="C22" s="17"/>
      <c r="D22" s="17"/>
      <c r="E22" s="17"/>
      <c r="F22" s="17"/>
      <c r="G22" s="17"/>
      <c r="H22" s="17"/>
    </row>
    <row r="23" ht="23" customHeight="1" outlineLevel="1">
      <c r="A23" s="12"/>
      <c r="B23" s="6" t="str">
        <v>烘烤表干性</v>
      </c>
      <c r="C23" s="6"/>
      <c r="D23" s="6"/>
      <c r="E23" s="6"/>
      <c r="F23" s="6"/>
      <c r="G23" s="6"/>
      <c r="H23" s="6"/>
    </row>
    <row r="24" ht="42" customHeight="1" outlineLevel="1">
      <c r="A24" s="12"/>
      <c r="B24" s="6" t="str">
        <v>黏度
cP（mPa·s）/ KU / s</v>
      </c>
      <c r="C24" s="6"/>
      <c r="D24" s="6"/>
      <c r="E24" s="6"/>
      <c r="F24" s="6"/>
      <c r="G24" s="6"/>
      <c r="H24" s="6"/>
    </row>
    <row r="25" ht="23" customHeight="1" outlineLevel="1">
      <c r="A25" s="12"/>
      <c r="B25" s="6" t="str">
        <v>含水率（%）</v>
      </c>
      <c r="C25" s="18"/>
      <c r="D25" s="18"/>
      <c r="E25" s="18"/>
      <c r="F25" s="18"/>
      <c r="G25" s="18"/>
      <c r="H25" s="18"/>
    </row>
    <row r="26" ht="42" customHeight="1" outlineLevel="1">
      <c r="A26" s="12"/>
      <c r="B26" s="6" t="str">
        <v>液相色谱：相对分子质量</v>
      </c>
      <c r="C26" s="6"/>
      <c r="D26" s="6"/>
      <c r="E26" s="6"/>
      <c r="F26" s="6"/>
      <c r="G26" s="6"/>
      <c r="H26" s="6"/>
    </row>
    <row r="27" ht="23" customHeight="1" outlineLevel="1">
      <c r="A27" s="12"/>
      <c r="B27" s="6" t="str">
        <v>红外光谱：重合度</v>
      </c>
      <c r="C27" s="6"/>
      <c r="D27" s="6"/>
      <c r="E27" s="6"/>
      <c r="F27" s="6"/>
      <c r="G27" s="6"/>
      <c r="H27" s="6"/>
    </row>
    <row r="28" ht="23" customHeight="1" outlineLevel="1">
      <c r="A28" s="12"/>
      <c r="B28" s="6" t="str">
        <v>气相色谱：纯度（%）</v>
      </c>
      <c r="C28" s="6"/>
      <c r="D28" s="6"/>
      <c r="E28" s="6"/>
      <c r="F28" s="6"/>
      <c r="G28" s="6"/>
      <c r="H28" s="6"/>
    </row>
    <row r="29" ht="42" customHeight="1" outlineLevel="1">
      <c r="A29" s="12"/>
      <c r="B29" s="6" t="str">
        <v>紫外光谱：吸收峰
波长（nm）</v>
      </c>
      <c r="C29" s="6"/>
      <c r="D29" s="6"/>
      <c r="E29" s="6"/>
      <c r="F29" s="6"/>
      <c r="G29" s="6"/>
      <c r="H29" s="6"/>
    </row>
    <row r="30" ht="23" customHeight="1" outlineLevel="1">
      <c r="A30" s="12"/>
      <c r="B30" s="6" t="str">
        <v>折光率</v>
      </c>
      <c r="C30" s="6"/>
      <c r="D30" s="6"/>
      <c r="E30" s="6"/>
      <c r="F30" s="6"/>
      <c r="G30" s="6"/>
      <c r="H30" s="6"/>
    </row>
    <row r="31" ht="42" customHeight="1" outlineLevel="1">
      <c r="A31" s="12"/>
      <c r="B31" s="6" t="str">
        <v>密度（原称比重，g/mL）</v>
      </c>
      <c r="C31" s="6"/>
      <c r="D31" s="6"/>
      <c r="E31" s="6"/>
      <c r="F31" s="6"/>
      <c r="G31" s="6"/>
      <c r="H31" s="6"/>
    </row>
    <row r="32" ht="23" customHeight="1" outlineLevel="1">
      <c r="A32" s="12"/>
      <c r="B32" s="6" t="str">
        <v>细度（μm）</v>
      </c>
      <c r="C32" s="6"/>
      <c r="D32" s="6"/>
      <c r="E32" s="6"/>
      <c r="F32" s="6"/>
      <c r="G32" s="6"/>
      <c r="H32" s="6"/>
    </row>
    <row r="33" ht="72" customHeight="1" outlineLevel="1">
      <c r="A33" s="12"/>
      <c r="B33" s="6" t="str">
        <v>粒径（nm/μm）
D10 / D50 / D90 / 平均</v>
      </c>
      <c r="C33" s="6"/>
      <c r="D33" s="6"/>
      <c r="E33" s="6"/>
      <c r="F33" s="6"/>
      <c r="G33" s="6"/>
      <c r="H33" s="6"/>
    </row>
    <row r="34" ht="23" customHeight="1" outlineLevel="1">
      <c r="A34" s="12"/>
      <c r="B34" s="6" t="str">
        <v>pH</v>
      </c>
      <c r="C34" s="6"/>
      <c r="D34" s="6"/>
      <c r="E34" s="6"/>
      <c r="F34" s="6"/>
      <c r="G34" s="6"/>
      <c r="H34" s="6"/>
    </row>
    <row r="35" ht="23" customHeight="1" outlineLevel="1">
      <c r="A35" s="12"/>
      <c r="B35" s="6" t="str">
        <v>表面张力（mN/m）</v>
      </c>
      <c r="C35" s="6"/>
      <c r="D35" s="6"/>
      <c r="E35" s="6"/>
      <c r="F35" s="6"/>
      <c r="G35" s="6"/>
      <c r="H35" s="6"/>
    </row>
    <row r="36" ht="23" customHeight="1" outlineLevel="1">
      <c r="A36" s="12"/>
      <c r="B36" s="6" t="str">
        <v>酸值（mg KOH/g）</v>
      </c>
      <c r="C36" s="6"/>
      <c r="D36" s="6"/>
      <c r="E36" s="6"/>
      <c r="F36" s="6"/>
      <c r="G36" s="6"/>
      <c r="H36" s="6"/>
    </row>
    <row r="37" ht="23" customHeight="1" outlineLevel="1">
      <c r="A37" s="12"/>
      <c r="B37" s="6" t="str">
        <v>羟值（mg KOH/g）</v>
      </c>
      <c r="C37" s="6"/>
      <c r="D37" s="6"/>
      <c r="E37" s="6"/>
      <c r="F37" s="6"/>
      <c r="G37" s="6"/>
      <c r="H37" s="6"/>
    </row>
    <row r="38" ht="23" customHeight="1" outlineLevel="1">
      <c r="A38" s="12"/>
      <c r="B38" s="6" t="str">
        <v>NCO含量（%）</v>
      </c>
      <c r="C38" s="6"/>
      <c r="D38" s="6"/>
      <c r="E38" s="6"/>
      <c r="F38" s="6"/>
      <c r="G38" s="6"/>
      <c r="H38" s="6"/>
    </row>
    <row r="39" ht="23" customHeight="1" outlineLevel="1">
      <c r="A39" s="12"/>
      <c r="B39" s="6" t="str">
        <v>电导率（μS/cm）</v>
      </c>
      <c r="C39" s="6"/>
      <c r="D39" s="6"/>
      <c r="E39" s="6"/>
      <c r="F39" s="6"/>
      <c r="G39" s="6"/>
      <c r="H39" s="6"/>
    </row>
    <row r="40" ht="23" customHeight="1" outlineLevel="1">
      <c r="A40" s="12"/>
      <c r="B40" s="6" t="str">
        <v>闪点（℃）</v>
      </c>
      <c r="C40" s="6"/>
      <c r="D40" s="6"/>
      <c r="E40" s="6"/>
      <c r="F40" s="6"/>
      <c r="G40" s="6"/>
      <c r="H40" s="6"/>
    </row>
    <row r="41" ht="42" customHeight="1" outlineLevel="1">
      <c r="A41" s="12"/>
      <c r="B41" s="6" t="str">
        <v>低温结晶性</v>
      </c>
      <c r="C41" s="6"/>
      <c r="D41" s="6"/>
      <c r="E41" s="6"/>
      <c r="F41" s="6"/>
      <c r="G41" s="6"/>
      <c r="H41" s="6"/>
    </row>
    <row r="42" ht="42" customHeight="1" outlineLevel="1">
      <c r="A42" s="12"/>
      <c r="B42" s="6" t="str">
        <v>高温稳定性</v>
      </c>
      <c r="C42" s="6"/>
      <c r="D42" s="6"/>
      <c r="E42" s="6"/>
      <c r="F42" s="6"/>
      <c r="G42" s="6"/>
      <c r="H42" s="6"/>
    </row>
    <row r="43" ht="42" customHeight="1" outlineLevel="1">
      <c r="A43" s="12"/>
      <c r="B43" s="6" t="str">
        <v>室温分层性</v>
      </c>
      <c r="C43" s="6"/>
      <c r="D43" s="6"/>
      <c r="E43" s="6"/>
      <c r="F43" s="6"/>
      <c r="G43" s="6"/>
      <c r="H43" s="6"/>
    </row>
    <row r="44" ht="42" customHeight="1" outlineLevel="1">
      <c r="A44" s="12"/>
      <c r="B44" s="6" t="str">
        <v>相溶性</v>
      </c>
      <c r="C44" s="6"/>
      <c r="D44" s="6"/>
      <c r="E44" s="6"/>
      <c r="F44" s="6"/>
      <c r="G44" s="6"/>
      <c r="H44" s="6"/>
    </row>
    <row r="45" ht="23" customHeight="1" outlineLevel="1">
      <c r="A45" s="12"/>
      <c r="B45" s="6" t="str">
        <v>溶解性</v>
      </c>
      <c r="C45" s="6"/>
      <c r="D45" s="6"/>
      <c r="E45" s="6"/>
      <c r="F45" s="6"/>
      <c r="G45" s="6"/>
      <c r="H45" s="6"/>
    </row>
    <row r="46" ht="23" customHeight="1" outlineLevel="1">
      <c r="A46" s="12"/>
      <c r="B46" s="6" t="str">
        <v>氟含量（%）</v>
      </c>
      <c r="C46" s="6"/>
      <c r="D46" s="6"/>
      <c r="E46" s="6"/>
      <c r="F46" s="6"/>
      <c r="G46" s="6"/>
      <c r="H46" s="6"/>
    </row>
    <row r="47" ht="23" customHeight="1" outlineLevel="1">
      <c r="A47" s="12"/>
      <c r="B47" s="6" t="str">
        <v>胺当量（g/eq）</v>
      </c>
      <c r="C47" s="6"/>
      <c r="D47" s="6"/>
      <c r="E47" s="6"/>
      <c r="F47" s="6"/>
      <c r="G47" s="6"/>
      <c r="H47" s="6"/>
    </row>
    <row r="48" ht="23" customHeight="1" outlineLevel="1">
      <c r="A48" s="12"/>
      <c r="B48" s="6"/>
      <c r="C48" s="6"/>
      <c r="D48" s="6"/>
      <c r="E48" s="6"/>
      <c r="F48" s="6"/>
      <c r="G48" s="6"/>
      <c r="H48" s="6"/>
    </row>
    <row r="49" ht="35" customHeight="1">
      <c r="A49" s="12" t="str">
        <v>实验方案</v>
      </c>
      <c r="B49" s="6" t="str">
        <v>具体方案</v>
      </c>
      <c r="C49" s="6"/>
      <c r="D49" s="6"/>
      <c r="E49" s="6"/>
      <c r="F49" s="6"/>
      <c r="G49" s="6"/>
      <c r="H49" s="6"/>
    </row>
    <row r="50" ht="35" customHeight="1">
      <c r="A50" s="12"/>
      <c r="B50" s="6" t="str">
        <v>实验设计变量</v>
      </c>
      <c r="C50" s="6"/>
      <c r="D50" s="6"/>
      <c r="E50" s="6"/>
      <c r="F50" s="6"/>
      <c r="G50" s="6"/>
      <c r="H50" s="6"/>
    </row>
    <row r="51" ht="23" customHeight="1">
      <c r="A51" s="12" t="str">
        <v>实验配方</v>
      </c>
      <c r="B51" s="6" t="str">
        <v>实验编号</v>
      </c>
      <c r="C51" s="6"/>
      <c r="D51" s="6"/>
      <c r="E51" s="6"/>
      <c r="F51" s="6"/>
      <c r="G51" s="6"/>
      <c r="H51" s="6"/>
    </row>
    <row r="52" ht="23" customHeight="1">
      <c r="A52" s="12"/>
      <c r="B52" s="6"/>
      <c r="C52" s="14"/>
      <c r="D52" s="14"/>
      <c r="E52" s="14"/>
      <c r="F52" s="14"/>
      <c r="G52" s="14"/>
      <c r="H52" s="14"/>
    </row>
    <row r="53" ht="23" customHeight="1">
      <c r="A53" s="12"/>
      <c r="B53" s="6"/>
      <c r="C53" s="14"/>
      <c r="D53" s="14"/>
      <c r="E53" s="14"/>
      <c r="F53" s="14"/>
      <c r="G53" s="14"/>
      <c r="H53" s="14"/>
    </row>
    <row r="54" ht="23" customHeight="1">
      <c r="A54" s="12"/>
      <c r="B54" s="6"/>
      <c r="C54" s="14"/>
      <c r="D54" s="14"/>
      <c r="E54" s="14"/>
      <c r="F54" s="14"/>
      <c r="G54" s="14"/>
      <c r="H54" s="14"/>
    </row>
    <row r="55" ht="23" customHeight="1">
      <c r="A55" s="12"/>
      <c r="B55" s="6"/>
      <c r="C55" s="14"/>
      <c r="D55" s="14"/>
      <c r="E55" s="14"/>
      <c r="F55" s="14"/>
      <c r="G55" s="14"/>
      <c r="H55" s="14"/>
    </row>
    <row r="56" ht="23" customHeight="1">
      <c r="A56" s="12"/>
      <c r="B56" s="6"/>
      <c r="C56" s="14"/>
      <c r="D56" s="14"/>
      <c r="E56" s="14"/>
      <c r="F56" s="14"/>
      <c r="G56" s="14"/>
      <c r="H56" s="14"/>
    </row>
    <row r="57" ht="23" customHeight="1">
      <c r="A57" s="12"/>
      <c r="B57" s="6"/>
      <c r="C57" s="14"/>
      <c r="D57" s="14"/>
      <c r="E57" s="14"/>
      <c r="F57" s="14"/>
      <c r="G57" s="14"/>
      <c r="H57" s="14"/>
    </row>
    <row r="58" ht="23" customHeight="1">
      <c r="A58" s="12"/>
      <c r="B58" s="6"/>
      <c r="C58" s="14"/>
      <c r="D58" s="14"/>
      <c r="E58" s="14"/>
      <c r="F58" s="14"/>
      <c r="G58" s="14"/>
      <c r="H58" s="14"/>
    </row>
    <row r="59" ht="23" customHeight="1">
      <c r="A59" s="12"/>
      <c r="B59" s="6"/>
      <c r="C59" s="14"/>
      <c r="D59" s="14"/>
      <c r="E59" s="14"/>
      <c r="F59" s="14"/>
      <c r="G59" s="14"/>
      <c r="H59" s="14"/>
    </row>
    <row r="60" ht="23" customHeight="1">
      <c r="A60" s="12"/>
      <c r="B60" s="15" t="str">
        <v>用量合计（g）</v>
      </c>
      <c r="C60" s="16" t="str">
        <f>IF(COUNTA(C52:C59)=0,"",IF(OR(SUMPRODUCT(($B$52:$B$59&lt;&gt;"")*(C52:C59=""))&gt;0,SUMPRODUCT(($B$52:$B$59="")*(C52:C59&lt;&gt;""))&gt;0,MIN(IFERROR(IF((C52="")+(C52="/"),0,IF(ISNUMBER(C52),C52,IF((RIGHT(LOWER(TRIM(C52)),1)="g")*ISERROR(SEARCH("%",C52))*ISERROR(SEARCH("/",C52)),--LEFT(TRIM(C52),LEN(TRIM(C52))-1),-1))),-1),IFERROR(IF((C53="")+(C53="/"),0,IF(ISNUMBER(C53),C53,IF((RIGHT(LOWER(TRIM(C53)),1)="g")*ISERROR(SEARCH("%",C53))*ISERROR(SEARCH("/",C53)),--LEFT(TRIM(C53),LEN(TRIM(C53))-1),-1))),-1),IFERROR(IF((C54="")+(C54="/"),0,IF(ISNUMBER(C54),C54,IF((RIGHT(LOWER(TRIM(C54)),1)="g")*ISERROR(SEARCH("%",C54))*ISERROR(SEARCH("/",C54)),--LEFT(TRIM(C54),LEN(TRIM(C54))-1),-1))),-1),IFERROR(IF((C55="")+(C55="/"),0,IF(ISNUMBER(C55),C55,IF((RIGHT(LOWER(TRIM(C55)),1)="g")*ISERROR(SEARCH("%",C55))*ISERROR(SEARCH("/",C55)),--LEFT(TRIM(C55),LEN(TRIM(C55))-1),-1))),-1),IFERROR(IF((C56="")+(C56="/"),0,IF(ISNUMBER(C56),C56,IF((RIGHT(LOWER(TRIM(C56)),1)="g")*ISERROR(SEARCH("%",C56))*ISERROR(SEARCH("/",C56)),--LEFT(TRIM(C56),LEN(TRIM(C56))-1),-1))),-1),IFERROR(IF((C57="")+(C57="/"),0,IF(ISNUMBER(C57),C57,IF((RIGHT(LOWER(TRIM(C57)),1)="g")*ISERROR(SEARCH("%",C57))*ISERROR(SEARCH("/",C57)),--LEFT(TRIM(C57),LEN(TRIM(C57))-1),-1))),-1),IFERROR(IF((C58="")+(C58="/"),0,IF(ISNUMBER(C58),C58,IF((RIGHT(LOWER(TRIM(C58)),1)="g")*ISERROR(SEARCH("%",C58))*ISERROR(SEARCH("/",C58)),--LEFT(TRIM(C58),LEN(TRIM(C58))-1),-1))),-1),IFERROR(IF((C59="")+(C59="/"),0,IF(ISNUMBER(C59),C59,IF((RIGHT(LOWER(TRIM(C59)),1)="g")*ISERROR(SEARCH("%",C59))*ISERROR(SEARCH("/",C59)),--LEFT(TRIM(C59),LEN(TRIM(C59))-1),-1))),-1))&lt;0),"",SUM(IFERROR(IF((C52="")+(C52="/"),0,IF(ISNUMBER(C52),C52,IF((RIGHT(LOWER(TRIM(C52)),1)="g")*ISERROR(SEARCH("%",C52))*ISERROR(SEARCH("/",C52)),--LEFT(TRIM(C52),LEN(TRIM(C52))-1),-1))),-1),IFERROR(IF((C53="")+(C53="/"),0,IF(ISNUMBER(C53),C53,IF((RIGHT(LOWER(TRIM(C53)),1)="g")*ISERROR(SEARCH("%",C53))*ISERROR(SEARCH("/",C53)),--LEFT(TRIM(C53),LEN(TRIM(C53))-1),-1))),-1),IFERROR(IF((C54="")+(C54="/"),0,IF(ISNUMBER(C54),C54,IF((RIGHT(LOWER(TRIM(C54)),1)="g")*ISERROR(SEARCH("%",C54))*ISERROR(SEARCH("/",C54)),--LEFT(TRIM(C54),LEN(TRIM(C54))-1),-1))),-1),IFERROR(IF((C55="")+(C55="/"),0,IF(ISNUMBER(C55),C55,IF((RIGHT(LOWER(TRIM(C55)),1)="g")*ISERROR(SEARCH("%",C55))*ISERROR(SEARCH("/",C55)),--LEFT(TRIM(C55),LEN(TRIM(C55))-1),-1))),-1),IFERROR(IF((C56="")+(C56="/"),0,IF(ISNUMBER(C56),C56,IF((RIGHT(LOWER(TRIM(C56)),1)="g")*ISERROR(SEARCH("%",C56))*ISERROR(SEARCH("/",C56)),--LEFT(TRIM(C56),LEN(TRIM(C56))-1),-1))),-1),IFERROR(IF((C57="")+(C57="/"),0,IF(ISNUMBER(C57),C57,IF((RIGHT(LOWER(TRIM(C57)),1)="g")*ISERROR(SEARCH("%",C57))*ISERROR(SEARCH("/",C57)),--LEFT(TRIM(C57),LEN(TRIM(C57))-1),-1))),-1),IFERROR(IF((C58="")+(C58="/"),0,IF(ISNUMBER(C58),C58,IF((RIGHT(LOWER(TRIM(C58)),1)="g")*ISERROR(SEARCH("%",C58))*ISERROR(SEARCH("/",C58)),--LEFT(TRIM(C58),LEN(TRIM(C58))-1),-1))),-1),IFERROR(IF((C59="")+(C59="/"),0,IF(ISNUMBER(C59),C59,IF((RIGHT(LOWER(TRIM(C59)),1)="g")*ISERROR(SEARCH("%",C59))*ISERROR(SEARCH("/",C59)),--LEFT(TRIM(C59),LEN(TRIM(C59))-1),-1))),-1))))</f>
      </c>
      <c r="D60" s="16" t="str">
        <f>IF(COUNTA(D52:D59)=0,"",IF(OR(SUMPRODUCT(($B$52:$B$59&lt;&gt;"")*(D52:D59=""))&gt;0,SUMPRODUCT(($B$52:$B$59="")*(D52:D59&lt;&gt;""))&gt;0,MIN(IFERROR(IF((D52="")+(D52="/"),0,IF(ISNUMBER(D52),D52,IF((RIGHT(LOWER(TRIM(D52)),1)="g")*ISERROR(SEARCH("%",D52))*ISERROR(SEARCH("/",D52)),--LEFT(TRIM(D52),LEN(TRIM(D52))-1),-1))),-1),IFERROR(IF((D53="")+(D53="/"),0,IF(ISNUMBER(D53),D53,IF((RIGHT(LOWER(TRIM(D53)),1)="g")*ISERROR(SEARCH("%",D53))*ISERROR(SEARCH("/",D53)),--LEFT(TRIM(D53),LEN(TRIM(D53))-1),-1))),-1),IFERROR(IF((D54="")+(D54="/"),0,IF(ISNUMBER(D54),D54,IF((RIGHT(LOWER(TRIM(D54)),1)="g")*ISERROR(SEARCH("%",D54))*ISERROR(SEARCH("/",D54)),--LEFT(TRIM(D54),LEN(TRIM(D54))-1),-1))),-1),IFERROR(IF((D55="")+(D55="/"),0,IF(ISNUMBER(D55),D55,IF((RIGHT(LOWER(TRIM(D55)),1)="g")*ISERROR(SEARCH("%",D55))*ISERROR(SEARCH("/",D55)),--LEFT(TRIM(D55),LEN(TRIM(D55))-1),-1))),-1),IFERROR(IF((D56="")+(D56="/"),0,IF(ISNUMBER(D56),D56,IF((RIGHT(LOWER(TRIM(D56)),1)="g")*ISERROR(SEARCH("%",D56))*ISERROR(SEARCH("/",D56)),--LEFT(TRIM(D56),LEN(TRIM(D56))-1),-1))),-1),IFERROR(IF((D57="")+(D57="/"),0,IF(ISNUMBER(D57),D57,IF((RIGHT(LOWER(TRIM(D57)),1)="g")*ISERROR(SEARCH("%",D57))*ISERROR(SEARCH("/",D57)),--LEFT(TRIM(D57),LEN(TRIM(D57))-1),-1))),-1),IFERROR(IF((D58="")+(D58="/"),0,IF(ISNUMBER(D58),D58,IF((RIGHT(LOWER(TRIM(D58)),1)="g")*ISERROR(SEARCH("%",D58))*ISERROR(SEARCH("/",D58)),--LEFT(TRIM(D58),LEN(TRIM(D58))-1),-1))),-1),IFERROR(IF((D59="")+(D59="/"),0,IF(ISNUMBER(D59),D59,IF((RIGHT(LOWER(TRIM(D59)),1)="g")*ISERROR(SEARCH("%",D59))*ISERROR(SEARCH("/",D59)),--LEFT(TRIM(D59),LEN(TRIM(D59))-1),-1))),-1))&lt;0),"",SUM(IFERROR(IF((D52="")+(D52="/"),0,IF(ISNUMBER(D52),D52,IF((RIGHT(LOWER(TRIM(D52)),1)="g")*ISERROR(SEARCH("%",D52))*ISERROR(SEARCH("/",D52)),--LEFT(TRIM(D52),LEN(TRIM(D52))-1),-1))),-1),IFERROR(IF((D53="")+(D53="/"),0,IF(ISNUMBER(D53),D53,IF((RIGHT(LOWER(TRIM(D53)),1)="g")*ISERROR(SEARCH("%",D53))*ISERROR(SEARCH("/",D53)),--LEFT(TRIM(D53),LEN(TRIM(D53))-1),-1))),-1),IFERROR(IF((D54="")+(D54="/"),0,IF(ISNUMBER(D54),D54,IF((RIGHT(LOWER(TRIM(D54)),1)="g")*ISERROR(SEARCH("%",D54))*ISERROR(SEARCH("/",D54)),--LEFT(TRIM(D54),LEN(TRIM(D54))-1),-1))),-1),IFERROR(IF((D55="")+(D55="/"),0,IF(ISNUMBER(D55),D55,IF((RIGHT(LOWER(TRIM(D55)),1)="g")*ISERROR(SEARCH("%",D55))*ISERROR(SEARCH("/",D55)),--LEFT(TRIM(D55),LEN(TRIM(D55))-1),-1))),-1),IFERROR(IF((D56="")+(D56="/"),0,IF(ISNUMBER(D56),D56,IF((RIGHT(LOWER(TRIM(D56)),1)="g")*ISERROR(SEARCH("%",D56))*ISERROR(SEARCH("/",D56)),--LEFT(TRIM(D56),LEN(TRIM(D56))-1),-1))),-1),IFERROR(IF((D57="")+(D57="/"),0,IF(ISNUMBER(D57),D57,IF((RIGHT(LOWER(TRIM(D57)),1)="g")*ISERROR(SEARCH("%",D57))*ISERROR(SEARCH("/",D57)),--LEFT(TRIM(D57),LEN(TRIM(D57))-1),-1))),-1),IFERROR(IF((D58="")+(D58="/"),0,IF(ISNUMBER(D58),D58,IF((RIGHT(LOWER(TRIM(D58)),1)="g")*ISERROR(SEARCH("%",D58))*ISERROR(SEARCH("/",D58)),--LEFT(TRIM(D58),LEN(TRIM(D58))-1),-1))),-1),IFERROR(IF((D59="")+(D59="/"),0,IF(ISNUMBER(D59),D59,IF((RIGHT(LOWER(TRIM(D59)),1)="g")*ISERROR(SEARCH("%",D59))*ISERROR(SEARCH("/",D59)),--LEFT(TRIM(D59),LEN(TRIM(D59))-1),-1))),-1))))</f>
      </c>
      <c r="E60" s="16" t="str">
        <f>IF(COUNTA(E52:E59)=0,"",IF(OR(SUMPRODUCT(($B$52:$B$59&lt;&gt;"")*(E52:E59=""))&gt;0,SUMPRODUCT(($B$52:$B$59="")*(E52:E59&lt;&gt;""))&gt;0,MIN(IFERROR(IF((E52="")+(E52="/"),0,IF(ISNUMBER(E52),E52,IF((RIGHT(LOWER(TRIM(E52)),1)="g")*ISERROR(SEARCH("%",E52))*ISERROR(SEARCH("/",E52)),--LEFT(TRIM(E52),LEN(TRIM(E52))-1),-1))),-1),IFERROR(IF((E53="")+(E53="/"),0,IF(ISNUMBER(E53),E53,IF((RIGHT(LOWER(TRIM(E53)),1)="g")*ISERROR(SEARCH("%",E53))*ISERROR(SEARCH("/",E53)),--LEFT(TRIM(E53),LEN(TRIM(E53))-1),-1))),-1),IFERROR(IF((E54="")+(E54="/"),0,IF(ISNUMBER(E54),E54,IF((RIGHT(LOWER(TRIM(E54)),1)="g")*ISERROR(SEARCH("%",E54))*ISERROR(SEARCH("/",E54)),--LEFT(TRIM(E54),LEN(TRIM(E54))-1),-1))),-1),IFERROR(IF((E55="")+(E55="/"),0,IF(ISNUMBER(E55),E55,IF((RIGHT(LOWER(TRIM(E55)),1)="g")*ISERROR(SEARCH("%",E55))*ISERROR(SEARCH("/",E55)),--LEFT(TRIM(E55),LEN(TRIM(E55))-1),-1))),-1),IFERROR(IF((E56="")+(E56="/"),0,IF(ISNUMBER(E56),E56,IF((RIGHT(LOWER(TRIM(E56)),1)="g")*ISERROR(SEARCH("%",E56))*ISERROR(SEARCH("/",E56)),--LEFT(TRIM(E56),LEN(TRIM(E56))-1),-1))),-1),IFERROR(IF((E57="")+(E57="/"),0,IF(ISNUMBER(E57),E57,IF((RIGHT(LOWER(TRIM(E57)),1)="g")*ISERROR(SEARCH("%",E57))*ISERROR(SEARCH("/",E57)),--LEFT(TRIM(E57),LEN(TRIM(E57))-1),-1))),-1),IFERROR(IF((E58="")+(E58="/"),0,IF(ISNUMBER(E58),E58,IF((RIGHT(LOWER(TRIM(E58)),1)="g")*ISERROR(SEARCH("%",E58))*ISERROR(SEARCH("/",E58)),--LEFT(TRIM(E58),LEN(TRIM(E58))-1),-1))),-1),IFERROR(IF((E59="")+(E59="/"),0,IF(ISNUMBER(E59),E59,IF((RIGHT(LOWER(TRIM(E59)),1)="g")*ISERROR(SEARCH("%",E59))*ISERROR(SEARCH("/",E59)),--LEFT(TRIM(E59),LEN(TRIM(E59))-1),-1))),-1))&lt;0),"",SUM(IFERROR(IF((E52="")+(E52="/"),0,IF(ISNUMBER(E52),E52,IF((RIGHT(LOWER(TRIM(E52)),1)="g")*ISERROR(SEARCH("%",E52))*ISERROR(SEARCH("/",E52)),--LEFT(TRIM(E52),LEN(TRIM(E52))-1),-1))),-1),IFERROR(IF((E53="")+(E53="/"),0,IF(ISNUMBER(E53),E53,IF((RIGHT(LOWER(TRIM(E53)),1)="g")*ISERROR(SEARCH("%",E53))*ISERROR(SEARCH("/",E53)),--LEFT(TRIM(E53),LEN(TRIM(E53))-1),-1))),-1),IFERROR(IF((E54="")+(E54="/"),0,IF(ISNUMBER(E54),E54,IF((RIGHT(LOWER(TRIM(E54)),1)="g")*ISERROR(SEARCH("%",E54))*ISERROR(SEARCH("/",E54)),--LEFT(TRIM(E54),LEN(TRIM(E54))-1),-1))),-1),IFERROR(IF((E55="")+(E55="/"),0,IF(ISNUMBER(E55),E55,IF((RIGHT(LOWER(TRIM(E55)),1)="g")*ISERROR(SEARCH("%",E55))*ISERROR(SEARCH("/",E55)),--LEFT(TRIM(E55),LEN(TRIM(E55))-1),-1))),-1),IFERROR(IF((E56="")+(E56="/"),0,IF(ISNUMBER(E56),E56,IF((RIGHT(LOWER(TRIM(E56)),1)="g")*ISERROR(SEARCH("%",E56))*ISERROR(SEARCH("/",E56)),--LEFT(TRIM(E56),LEN(TRIM(E56))-1),-1))),-1),IFERROR(IF((E57="")+(E57="/"),0,IF(ISNUMBER(E57),E57,IF((RIGHT(LOWER(TRIM(E57)),1)="g")*ISERROR(SEARCH("%",E57))*ISERROR(SEARCH("/",E57)),--LEFT(TRIM(E57),LEN(TRIM(E57))-1),-1))),-1),IFERROR(IF((E58="")+(E58="/"),0,IF(ISNUMBER(E58),E58,IF((RIGHT(LOWER(TRIM(E58)),1)="g")*ISERROR(SEARCH("%",E58))*ISERROR(SEARCH("/",E58)),--LEFT(TRIM(E58),LEN(TRIM(E58))-1),-1))),-1),IFERROR(IF((E59="")+(E59="/"),0,IF(ISNUMBER(E59),E59,IF((RIGHT(LOWER(TRIM(E59)),1)="g")*ISERROR(SEARCH("%",E59))*ISERROR(SEARCH("/",E59)),--LEFT(TRIM(E59),LEN(TRIM(E59))-1),-1))),-1))))</f>
      </c>
      <c r="F60" s="16" t="str">
        <f>IF(COUNTA(F52:F59)=0,"",IF(OR(SUMPRODUCT(($B$52:$B$59&lt;&gt;"")*(F52:F59=""))&gt;0,SUMPRODUCT(($B$52:$B$59="")*(F52:F59&lt;&gt;""))&gt;0,MIN(IFERROR(IF((F52="")+(F52="/"),0,IF(ISNUMBER(F52),F52,IF((RIGHT(LOWER(TRIM(F52)),1)="g")*ISERROR(SEARCH("%",F52))*ISERROR(SEARCH("/",F52)),--LEFT(TRIM(F52),LEN(TRIM(F52))-1),-1))),-1),IFERROR(IF((F53="")+(F53="/"),0,IF(ISNUMBER(F53),F53,IF((RIGHT(LOWER(TRIM(F53)),1)="g")*ISERROR(SEARCH("%",F53))*ISERROR(SEARCH("/",F53)),--LEFT(TRIM(F53),LEN(TRIM(F53))-1),-1))),-1),IFERROR(IF((F54="")+(F54="/"),0,IF(ISNUMBER(F54),F54,IF((RIGHT(LOWER(TRIM(F54)),1)="g")*ISERROR(SEARCH("%",F54))*ISERROR(SEARCH("/",F54)),--LEFT(TRIM(F54),LEN(TRIM(F54))-1),-1))),-1),IFERROR(IF((F55="")+(F55="/"),0,IF(ISNUMBER(F55),F55,IF((RIGHT(LOWER(TRIM(F55)),1)="g")*ISERROR(SEARCH("%",F55))*ISERROR(SEARCH("/",F55)),--LEFT(TRIM(F55),LEN(TRIM(F55))-1),-1))),-1),IFERROR(IF((F56="")+(F56="/"),0,IF(ISNUMBER(F56),F56,IF((RIGHT(LOWER(TRIM(F56)),1)="g")*ISERROR(SEARCH("%",F56))*ISERROR(SEARCH("/",F56)),--LEFT(TRIM(F56),LEN(TRIM(F56))-1),-1))),-1),IFERROR(IF((F57="")+(F57="/"),0,IF(ISNUMBER(F57),F57,IF((RIGHT(LOWER(TRIM(F57)),1)="g")*ISERROR(SEARCH("%",F57))*ISERROR(SEARCH("/",F57)),--LEFT(TRIM(F57),LEN(TRIM(F57))-1),-1))),-1),IFERROR(IF((F58="")+(F58="/"),0,IF(ISNUMBER(F58),F58,IF((RIGHT(LOWER(TRIM(F58)),1)="g")*ISERROR(SEARCH("%",F58))*ISERROR(SEARCH("/",F58)),--LEFT(TRIM(F58),LEN(TRIM(F58))-1),-1))),-1),IFERROR(IF((F59="")+(F59="/"),0,IF(ISNUMBER(F59),F59,IF((RIGHT(LOWER(TRIM(F59)),1)="g")*ISERROR(SEARCH("%",F59))*ISERROR(SEARCH("/",F59)),--LEFT(TRIM(F59),LEN(TRIM(F59))-1),-1))),-1))&lt;0),"",SUM(IFERROR(IF((F52="")+(F52="/"),0,IF(ISNUMBER(F52),F52,IF((RIGHT(LOWER(TRIM(F52)),1)="g")*ISERROR(SEARCH("%",F52))*ISERROR(SEARCH("/",F52)),--LEFT(TRIM(F52),LEN(TRIM(F52))-1),-1))),-1),IFERROR(IF((F53="")+(F53="/"),0,IF(ISNUMBER(F53),F53,IF((RIGHT(LOWER(TRIM(F53)),1)="g")*ISERROR(SEARCH("%",F53))*ISERROR(SEARCH("/",F53)),--LEFT(TRIM(F53),LEN(TRIM(F53))-1),-1))),-1),IFERROR(IF((F54="")+(F54="/"),0,IF(ISNUMBER(F54),F54,IF((RIGHT(LOWER(TRIM(F54)),1)="g")*ISERROR(SEARCH("%",F54))*ISERROR(SEARCH("/",F54)),--LEFT(TRIM(F54),LEN(TRIM(F54))-1),-1))),-1),IFERROR(IF((F55="")+(F55="/"),0,IF(ISNUMBER(F55),F55,IF((RIGHT(LOWER(TRIM(F55)),1)="g")*ISERROR(SEARCH("%",F55))*ISERROR(SEARCH("/",F55)),--LEFT(TRIM(F55),LEN(TRIM(F55))-1),-1))),-1),IFERROR(IF((F56="")+(F56="/"),0,IF(ISNUMBER(F56),F56,IF((RIGHT(LOWER(TRIM(F56)),1)="g")*ISERROR(SEARCH("%",F56))*ISERROR(SEARCH("/",F56)),--LEFT(TRIM(F56),LEN(TRIM(F56))-1),-1))),-1),IFERROR(IF((F57="")+(F57="/"),0,IF(ISNUMBER(F57),F57,IF((RIGHT(LOWER(TRIM(F57)),1)="g")*ISERROR(SEARCH("%",F57))*ISERROR(SEARCH("/",F57)),--LEFT(TRIM(F57),LEN(TRIM(F57))-1),-1))),-1),IFERROR(IF((F58="")+(F58="/"),0,IF(ISNUMBER(F58),F58,IF((RIGHT(LOWER(TRIM(F58)),1)="g")*ISERROR(SEARCH("%",F58))*ISERROR(SEARCH("/",F58)),--LEFT(TRIM(F58),LEN(TRIM(F58))-1),-1))),-1),IFERROR(IF((F59="")+(F59="/"),0,IF(ISNUMBER(F59),F59,IF((RIGHT(LOWER(TRIM(F59)),1)="g")*ISERROR(SEARCH("%",F59))*ISERROR(SEARCH("/",F59)),--LEFT(TRIM(F59),LEN(TRIM(F59))-1),-1))),-1))))</f>
      </c>
      <c r="G60" s="16" t="str">
        <f>IF(COUNTA(G52:G59)=0,"",IF(OR(SUMPRODUCT(($B$52:$B$59&lt;&gt;"")*(G52:G59=""))&gt;0,SUMPRODUCT(($B$52:$B$59="")*(G52:G59&lt;&gt;""))&gt;0,MIN(IFERROR(IF((G52="")+(G52="/"),0,IF(ISNUMBER(G52),G52,IF((RIGHT(LOWER(TRIM(G52)),1)="g")*ISERROR(SEARCH("%",G52))*ISERROR(SEARCH("/",G52)),--LEFT(TRIM(G52),LEN(TRIM(G52))-1),-1))),-1),IFERROR(IF((G53="")+(G53="/"),0,IF(ISNUMBER(G53),G53,IF((RIGHT(LOWER(TRIM(G53)),1)="g")*ISERROR(SEARCH("%",G53))*ISERROR(SEARCH("/",G53)),--LEFT(TRIM(G53),LEN(TRIM(G53))-1),-1))),-1),IFERROR(IF((G54="")+(G54="/"),0,IF(ISNUMBER(G54),G54,IF((RIGHT(LOWER(TRIM(G54)),1)="g")*ISERROR(SEARCH("%",G54))*ISERROR(SEARCH("/",G54)),--LEFT(TRIM(G54),LEN(TRIM(G54))-1),-1))),-1),IFERROR(IF((G55="")+(G55="/"),0,IF(ISNUMBER(G55),G55,IF((RIGHT(LOWER(TRIM(G55)),1)="g")*ISERROR(SEARCH("%",G55))*ISERROR(SEARCH("/",G55)),--LEFT(TRIM(G55),LEN(TRIM(G55))-1),-1))),-1),IFERROR(IF((G56="")+(G56="/"),0,IF(ISNUMBER(G56),G56,IF((RIGHT(LOWER(TRIM(G56)),1)="g")*ISERROR(SEARCH("%",G56))*ISERROR(SEARCH("/",G56)),--LEFT(TRIM(G56),LEN(TRIM(G56))-1),-1))),-1),IFERROR(IF((G57="")+(G57="/"),0,IF(ISNUMBER(G57),G57,IF((RIGHT(LOWER(TRIM(G57)),1)="g")*ISERROR(SEARCH("%",G57))*ISERROR(SEARCH("/",G57)),--LEFT(TRIM(G57),LEN(TRIM(G57))-1),-1))),-1),IFERROR(IF((G58="")+(G58="/"),0,IF(ISNUMBER(G58),G58,IF((RIGHT(LOWER(TRIM(G58)),1)="g")*ISERROR(SEARCH("%",G58))*ISERROR(SEARCH("/",G58)),--LEFT(TRIM(G58),LEN(TRIM(G58))-1),-1))),-1),IFERROR(IF((G59="")+(G59="/"),0,IF(ISNUMBER(G59),G59,IF((RIGHT(LOWER(TRIM(G59)),1)="g")*ISERROR(SEARCH("%",G59))*ISERROR(SEARCH("/",G59)),--LEFT(TRIM(G59),LEN(TRIM(G59))-1),-1))),-1))&lt;0),"",SUM(IFERROR(IF((G52="")+(G52="/"),0,IF(ISNUMBER(G52),G52,IF((RIGHT(LOWER(TRIM(G52)),1)="g")*ISERROR(SEARCH("%",G52))*ISERROR(SEARCH("/",G52)),--LEFT(TRIM(G52),LEN(TRIM(G52))-1),-1))),-1),IFERROR(IF((G53="")+(G53="/"),0,IF(ISNUMBER(G53),G53,IF((RIGHT(LOWER(TRIM(G53)),1)="g")*ISERROR(SEARCH("%",G53))*ISERROR(SEARCH("/",G53)),--LEFT(TRIM(G53),LEN(TRIM(G53))-1),-1))),-1),IFERROR(IF((G54="")+(G54="/"),0,IF(ISNUMBER(G54),G54,IF((RIGHT(LOWER(TRIM(G54)),1)="g")*ISERROR(SEARCH("%",G54))*ISERROR(SEARCH("/",G54)),--LEFT(TRIM(G54),LEN(TRIM(G54))-1),-1))),-1),IFERROR(IF((G55="")+(G55="/"),0,IF(ISNUMBER(G55),G55,IF((RIGHT(LOWER(TRIM(G55)),1)="g")*ISERROR(SEARCH("%",G55))*ISERROR(SEARCH("/",G55)),--LEFT(TRIM(G55),LEN(TRIM(G55))-1),-1))),-1),IFERROR(IF((G56="")+(G56="/"),0,IF(ISNUMBER(G56),G56,IF((RIGHT(LOWER(TRIM(G56)),1)="g")*ISERROR(SEARCH("%",G56))*ISERROR(SEARCH("/",G56)),--LEFT(TRIM(G56),LEN(TRIM(G56))-1),-1))),-1),IFERROR(IF((G57="")+(G57="/"),0,IF(ISNUMBER(G57),G57,IF((RIGHT(LOWER(TRIM(G57)),1)="g")*ISERROR(SEARCH("%",G57))*ISERROR(SEARCH("/",G57)),--LEFT(TRIM(G57),LEN(TRIM(G57))-1),-1))),-1),IFERROR(IF((G58="")+(G58="/"),0,IF(ISNUMBER(G58),G58,IF((RIGHT(LOWER(TRIM(G58)),1)="g")*ISERROR(SEARCH("%",G58))*ISERROR(SEARCH("/",G58)),--LEFT(TRIM(G58),LEN(TRIM(G58))-1),-1))),-1),IFERROR(IF((G59="")+(G59="/"),0,IF(ISNUMBER(G59),G59,IF((RIGHT(LOWER(TRIM(G59)),1)="g")*ISERROR(SEARCH("%",G59))*ISERROR(SEARCH("/",G59)),--LEFT(TRIM(G59),LEN(TRIM(G59))-1),-1))),-1))))</f>
      </c>
      <c r="H60" s="16" t="str">
        <f>IF(COUNTA(H52:H59)=0,"",IF(OR(SUMPRODUCT(($B$52:$B$59&lt;&gt;"")*(H52:H59=""))&gt;0,SUMPRODUCT(($B$52:$B$59="")*(H52:H59&lt;&gt;""))&gt;0,MIN(IFERROR(IF((H52="")+(H52="/"),0,IF(ISNUMBER(H52),H52,IF((RIGHT(LOWER(TRIM(H52)),1)="g")*ISERROR(SEARCH("%",H52))*ISERROR(SEARCH("/",H52)),--LEFT(TRIM(H52),LEN(TRIM(H52))-1),-1))),-1),IFERROR(IF((H53="")+(H53="/"),0,IF(ISNUMBER(H53),H53,IF((RIGHT(LOWER(TRIM(H53)),1)="g")*ISERROR(SEARCH("%",H53))*ISERROR(SEARCH("/",H53)),--LEFT(TRIM(H53),LEN(TRIM(H53))-1),-1))),-1),IFERROR(IF((H54="")+(H54="/"),0,IF(ISNUMBER(H54),H54,IF((RIGHT(LOWER(TRIM(H54)),1)="g")*ISERROR(SEARCH("%",H54))*ISERROR(SEARCH("/",H54)),--LEFT(TRIM(H54),LEN(TRIM(H54))-1),-1))),-1),IFERROR(IF((H55="")+(H55="/"),0,IF(ISNUMBER(H55),H55,IF((RIGHT(LOWER(TRIM(H55)),1)="g")*ISERROR(SEARCH("%",H55))*ISERROR(SEARCH("/",H55)),--LEFT(TRIM(H55),LEN(TRIM(H55))-1),-1))),-1),IFERROR(IF((H56="")+(H56="/"),0,IF(ISNUMBER(H56),H56,IF((RIGHT(LOWER(TRIM(H56)),1)="g")*ISERROR(SEARCH("%",H56))*ISERROR(SEARCH("/",H56)),--LEFT(TRIM(H56),LEN(TRIM(H56))-1),-1))),-1),IFERROR(IF((H57="")+(H57="/"),0,IF(ISNUMBER(H57),H57,IF((RIGHT(LOWER(TRIM(H57)),1)="g")*ISERROR(SEARCH("%",H57))*ISERROR(SEARCH("/",H57)),--LEFT(TRIM(H57),LEN(TRIM(H57))-1),-1))),-1),IFERROR(IF((H58="")+(H58="/"),0,IF(ISNUMBER(H58),H58,IF((RIGHT(LOWER(TRIM(H58)),1)="g")*ISERROR(SEARCH("%",H58))*ISERROR(SEARCH("/",H58)),--LEFT(TRIM(H58),LEN(TRIM(H58))-1),-1))),-1),IFERROR(IF((H59="")+(H59="/"),0,IF(ISNUMBER(H59),H59,IF((RIGHT(LOWER(TRIM(H59)),1)="g")*ISERROR(SEARCH("%",H59))*ISERROR(SEARCH("/",H59)),--LEFT(TRIM(H59),LEN(TRIM(H59))-1),-1))),-1))&lt;0),"",SUM(IFERROR(IF((H52="")+(H52="/"),0,IF(ISNUMBER(H52),H52,IF((RIGHT(LOWER(TRIM(H52)),1)="g")*ISERROR(SEARCH("%",H52))*ISERROR(SEARCH("/",H52)),--LEFT(TRIM(H52),LEN(TRIM(H52))-1),-1))),-1),IFERROR(IF((H53="")+(H53="/"),0,IF(ISNUMBER(H53),H53,IF((RIGHT(LOWER(TRIM(H53)),1)="g")*ISERROR(SEARCH("%",H53))*ISERROR(SEARCH("/",H53)),--LEFT(TRIM(H53),LEN(TRIM(H53))-1),-1))),-1),IFERROR(IF((H54="")+(H54="/"),0,IF(ISNUMBER(H54),H54,IF((RIGHT(LOWER(TRIM(H54)),1)="g")*ISERROR(SEARCH("%",H54))*ISERROR(SEARCH("/",H54)),--LEFT(TRIM(H54),LEN(TRIM(H54))-1),-1))),-1),IFERROR(IF((H55="")+(H55="/"),0,IF(ISNUMBER(H55),H55,IF((RIGHT(LOWER(TRIM(H55)),1)="g")*ISERROR(SEARCH("%",H55))*ISERROR(SEARCH("/",H55)),--LEFT(TRIM(H55),LEN(TRIM(H55))-1),-1))),-1),IFERROR(IF((H56="")+(H56="/"),0,IF(ISNUMBER(H56),H56,IF((RIGHT(LOWER(TRIM(H56)),1)="g")*ISERROR(SEARCH("%",H56))*ISERROR(SEARCH("/",H56)),--LEFT(TRIM(H56),LEN(TRIM(H56))-1),-1))),-1),IFERROR(IF((H57="")+(H57="/"),0,IF(ISNUMBER(H57),H57,IF((RIGHT(LOWER(TRIM(H57)),1)="g")*ISERROR(SEARCH("%",H57))*ISERROR(SEARCH("/",H57)),--LEFT(TRIM(H57),LEN(TRIM(H57))-1),-1))),-1),IFERROR(IF((H58="")+(H58="/"),0,IF(ISNUMBER(H58),H58,IF((RIGHT(LOWER(TRIM(H58)),1)="g")*ISERROR(SEARCH("%",H58))*ISERROR(SEARCH("/",H58)),--LEFT(TRIM(H58),LEN(TRIM(H58))-1),-1))),-1),IFERROR(IF((H59="")+(H59="/"),0,IF(ISNUMBER(H59),H59,IF((RIGHT(LOWER(TRIM(H59)),1)="g")*ISERROR(SEARCH("%",H59))*ISERROR(SEARCH("/",H59)),--LEFT(TRIM(H59),LEN(TRIM(H59))-1),-1))),-1))))</f>
      </c>
    </row>
    <row r="61" ht="28" customHeight="1">
      <c r="A61" s="12" t="str">
        <v>涂料物性</v>
      </c>
      <c r="B61" s="6" t="str">
        <v>涂料外观</v>
      </c>
      <c r="C61" s="6"/>
      <c r="D61" s="6"/>
      <c r="E61" s="6"/>
      <c r="F61" s="6"/>
      <c r="G61" s="6"/>
      <c r="H61" s="6"/>
    </row>
    <row r="62" ht="23" customHeight="1" outlineLevel="1">
      <c r="A62" s="12"/>
      <c r="B62" s="6" t="str">
        <v>涂料固含（%）</v>
      </c>
      <c r="C62" s="17"/>
      <c r="D62" s="17"/>
      <c r="E62" s="17"/>
      <c r="F62" s="17"/>
      <c r="G62" s="17"/>
      <c r="H62" s="17"/>
    </row>
    <row r="63" ht="42" customHeight="1" outlineLevel="1">
      <c r="A63" s="12"/>
      <c r="B63" s="6" t="str">
        <v>涂料黏度
cP（mPa·s）/ KU / s</v>
      </c>
      <c r="C63" s="6"/>
      <c r="D63" s="6"/>
      <c r="E63" s="6"/>
      <c r="F63" s="6"/>
      <c r="G63" s="6"/>
      <c r="H63" s="6"/>
    </row>
    <row r="64" ht="28" customHeight="1">
      <c r="A64" s="12" t="str">
        <v>涂层性能</v>
      </c>
      <c r="B64" s="6" t="str">
        <v>固化性</v>
      </c>
      <c r="C64" s="6"/>
      <c r="D64" s="6"/>
      <c r="E64" s="6"/>
      <c r="F64" s="6"/>
      <c r="G64" s="6"/>
      <c r="H64" s="6"/>
    </row>
    <row r="65" ht="72" customHeight="1" outlineLevel="1">
      <c r="A65" s="12"/>
      <c r="B65" s="6" t="str">
        <v>板面外观</v>
      </c>
      <c r="C65" s="6"/>
      <c r="D65" s="6"/>
      <c r="E65" s="6"/>
      <c r="F65" s="6"/>
      <c r="G65" s="6"/>
      <c r="H65" s="6"/>
    </row>
    <row r="66" ht="23" customHeight="1" outlineLevel="1">
      <c r="A66" s="12"/>
      <c r="B66" s="6" t="str">
        <v>膜厚（μm）</v>
      </c>
      <c r="C66" s="6"/>
      <c r="D66" s="6"/>
      <c r="E66" s="6"/>
      <c r="F66" s="6"/>
      <c r="G66" s="6"/>
      <c r="H66" s="6"/>
    </row>
    <row r="67" ht="23" customHeight="1" outlineLevel="1">
      <c r="A67" s="12"/>
      <c r="B67" s="6" t="str">
        <v>20°角光泽（GU）</v>
      </c>
      <c r="C67" s="6"/>
      <c r="D67" s="6"/>
      <c r="E67" s="6"/>
      <c r="F67" s="6"/>
      <c r="G67" s="6"/>
      <c r="H67" s="6"/>
    </row>
    <row r="68" ht="23" customHeight="1" outlineLevel="2">
      <c r="A68" s="12"/>
      <c r="B68" s="6" t="str">
        <v>60°角光泽（GU）</v>
      </c>
      <c r="C68" s="6"/>
      <c r="D68" s="6"/>
      <c r="E68" s="6"/>
      <c r="F68" s="6"/>
      <c r="G68" s="6"/>
      <c r="H68" s="6"/>
    </row>
    <row r="69" ht="23" customHeight="1" outlineLevel="2">
      <c r="A69" s="12"/>
      <c r="B69" s="6" t="str">
        <v>85°角光泽（GU）</v>
      </c>
      <c r="C69" s="6"/>
      <c r="D69" s="6"/>
      <c r="E69" s="6"/>
      <c r="F69" s="6"/>
      <c r="G69" s="6"/>
      <c r="H69" s="6"/>
    </row>
    <row r="70" ht="23" customHeight="1" outlineLevel="2">
      <c r="A70" s="12"/>
      <c r="B70" s="6" t="str">
        <v>雾度（%）</v>
      </c>
      <c r="C70" s="17"/>
      <c r="D70" s="17"/>
      <c r="E70" s="17"/>
      <c r="F70" s="17"/>
      <c r="G70" s="17"/>
      <c r="H70" s="17"/>
    </row>
    <row r="71" ht="23" customHeight="1" outlineLevel="2">
      <c r="A71" s="12"/>
      <c r="B71" s="6" t="str">
        <v>透光率（%）</v>
      </c>
      <c r="C71" s="17"/>
      <c r="D71" s="17"/>
      <c r="E71" s="17"/>
      <c r="F71" s="17"/>
      <c r="G71" s="17"/>
      <c r="H71" s="17"/>
    </row>
    <row r="72" ht="23" customHeight="1" outlineLevel="1">
      <c r="A72" s="12"/>
      <c r="B72" s="6" t="str">
        <v>硬度：1kg</v>
      </c>
      <c r="C72" s="6"/>
      <c r="D72" s="6"/>
      <c r="E72" s="6"/>
      <c r="F72" s="6"/>
      <c r="G72" s="6"/>
      <c r="H72" s="6"/>
    </row>
    <row r="73" ht="23" customHeight="1" outlineLevel="2">
      <c r="A73" s="12"/>
      <c r="B73" s="6" t="str">
        <v>硬度：700g</v>
      </c>
      <c r="C73" s="6"/>
      <c r="D73" s="6"/>
      <c r="E73" s="6"/>
      <c r="F73" s="6"/>
      <c r="G73" s="6"/>
      <c r="H73" s="6"/>
    </row>
    <row r="74" ht="23" customHeight="1" outlineLevel="2">
      <c r="A74" s="12"/>
      <c r="B74" s="6" t="str">
        <v>硬度：500g</v>
      </c>
      <c r="C74" s="6"/>
      <c r="D74" s="6"/>
      <c r="E74" s="6"/>
      <c r="F74" s="6"/>
      <c r="G74" s="6"/>
      <c r="H74" s="6"/>
    </row>
    <row r="75" ht="23" customHeight="1" outlineLevel="1">
      <c r="A75" s="12"/>
      <c r="B75" s="6" t="str">
        <v>附着力：ABS/PC</v>
      </c>
      <c r="C75" s="6"/>
      <c r="D75" s="6"/>
      <c r="E75" s="6"/>
      <c r="F75" s="6"/>
      <c r="G75" s="6"/>
      <c r="H75" s="6"/>
    </row>
    <row r="76" ht="23" customHeight="1" outlineLevel="2">
      <c r="A76" s="12"/>
      <c r="B76" s="6" t="str">
        <v>附着力：ABS</v>
      </c>
      <c r="C76" s="6"/>
      <c r="D76" s="6"/>
      <c r="E76" s="6"/>
      <c r="F76" s="6"/>
      <c r="G76" s="6"/>
      <c r="H76" s="6"/>
    </row>
    <row r="77" ht="23" customHeight="1" outlineLevel="2">
      <c r="A77" s="12"/>
      <c r="B77" s="6" t="str">
        <v>附着力：PC</v>
      </c>
      <c r="C77" s="6"/>
      <c r="D77" s="6"/>
      <c r="E77" s="6"/>
      <c r="F77" s="6"/>
      <c r="G77" s="6"/>
      <c r="H77" s="6"/>
    </row>
    <row r="78" ht="23" customHeight="1" outlineLevel="2">
      <c r="A78" s="12"/>
      <c r="B78" s="6" t="str">
        <v>附着力：PET</v>
      </c>
      <c r="C78" s="6"/>
      <c r="D78" s="6"/>
      <c r="E78" s="6"/>
      <c r="F78" s="6"/>
      <c r="G78" s="6"/>
      <c r="H78" s="6"/>
    </row>
    <row r="79" ht="23" customHeight="1" outlineLevel="2">
      <c r="A79" s="12"/>
      <c r="B79" s="6" t="str">
        <v>附着力：PMMA</v>
      </c>
      <c r="C79" s="6"/>
      <c r="D79" s="6"/>
      <c r="E79" s="6"/>
      <c r="F79" s="6"/>
      <c r="G79" s="6"/>
      <c r="H79" s="6"/>
    </row>
    <row r="80" ht="23" customHeight="1" outlineLevel="2">
      <c r="A80" s="12"/>
      <c r="B80" s="6" t="str">
        <v>附着力：玻璃</v>
      </c>
      <c r="C80" s="6"/>
      <c r="D80" s="6"/>
      <c r="E80" s="6"/>
      <c r="F80" s="6"/>
      <c r="G80" s="6"/>
      <c r="H80" s="6"/>
    </row>
    <row r="81" ht="23" customHeight="1" outlineLevel="2">
      <c r="A81" s="12"/>
      <c r="B81" s="6" t="str">
        <v>附着力：马口铁</v>
      </c>
      <c r="C81" s="6"/>
      <c r="D81" s="6"/>
      <c r="E81" s="6"/>
      <c r="F81" s="6"/>
      <c r="G81" s="6"/>
      <c r="H81" s="6"/>
    </row>
    <row r="82" ht="23" customHeight="1" outlineLevel="2">
      <c r="A82" s="12"/>
      <c r="B82" s="6" t="str">
        <v>附着力：铝片</v>
      </c>
      <c r="C82" s="6"/>
      <c r="D82" s="6"/>
      <c r="E82" s="6"/>
      <c r="F82" s="6"/>
      <c r="G82" s="6"/>
      <c r="H82" s="6"/>
    </row>
    <row r="83" ht="23" customHeight="1" outlineLevel="2">
      <c r="A83" s="12"/>
      <c r="B83" s="6" t="str">
        <v>附着力：不锈钢</v>
      </c>
      <c r="C83" s="6"/>
      <c r="D83" s="6"/>
      <c r="E83" s="6"/>
      <c r="F83" s="6"/>
      <c r="G83" s="6"/>
      <c r="H83" s="6"/>
    </row>
    <row r="84" ht="23" customHeight="1" outlineLevel="2">
      <c r="A84" s="12"/>
      <c r="B84" s="6" t="str">
        <v>附着力：PP</v>
      </c>
      <c r="C84" s="6"/>
      <c r="D84" s="6"/>
      <c r="E84" s="6"/>
      <c r="F84" s="6"/>
      <c r="G84" s="6"/>
      <c r="H84" s="6"/>
    </row>
    <row r="85" ht="23" customHeight="1" outlineLevel="2">
      <c r="A85" s="12"/>
      <c r="B85" s="6" t="str">
        <v>附着力：尼龙</v>
      </c>
      <c r="C85" s="6"/>
      <c r="D85" s="6"/>
      <c r="E85" s="6"/>
      <c r="F85" s="6"/>
      <c r="G85" s="6"/>
      <c r="H85" s="6"/>
    </row>
    <row r="86" ht="23" customHeight="1" outlineLevel="2">
      <c r="A86" s="12"/>
      <c r="B86" s="6" t="str">
        <v>附着力：TPU</v>
      </c>
      <c r="C86" s="6"/>
      <c r="D86" s="6"/>
      <c r="E86" s="6"/>
      <c r="F86" s="6"/>
      <c r="G86" s="6"/>
      <c r="H86" s="6"/>
    </row>
    <row r="87" ht="23" customHeight="1" outlineLevel="2">
      <c r="A87" s="12"/>
      <c r="B87" s="6" t="str">
        <v>附着力：PVC</v>
      </c>
      <c r="C87" s="6"/>
      <c r="D87" s="6"/>
      <c r="E87" s="6"/>
      <c r="F87" s="6"/>
      <c r="G87" s="6"/>
      <c r="H87" s="6"/>
    </row>
    <row r="88" ht="23" customHeight="1" outlineLevel="2">
      <c r="A88" s="12"/>
      <c r="B88" s="6" t="str">
        <v>水煮后附着力：PC</v>
      </c>
      <c r="C88" s="6"/>
      <c r="D88" s="6"/>
      <c r="E88" s="6"/>
      <c r="F88" s="6"/>
      <c r="G88" s="6"/>
      <c r="H88" s="6"/>
    </row>
    <row r="89" ht="23" customHeight="1" outlineLevel="2">
      <c r="A89" s="12"/>
      <c r="B89" s="6" t="str">
        <v>水煮后附着力：PET</v>
      </c>
      <c r="C89" s="6"/>
      <c r="D89" s="6"/>
      <c r="E89" s="6"/>
      <c r="F89" s="6"/>
      <c r="G89" s="6"/>
      <c r="H89" s="6"/>
    </row>
    <row r="90" ht="23" customHeight="1" outlineLevel="2">
      <c r="A90" s="12"/>
      <c r="B90" s="6" t="str">
        <v>水煮后附着力：PMMA</v>
      </c>
      <c r="C90" s="6"/>
      <c r="D90" s="6"/>
      <c r="E90" s="6"/>
      <c r="F90" s="6"/>
      <c r="G90" s="6"/>
      <c r="H90" s="6"/>
    </row>
    <row r="91" ht="23" customHeight="1" outlineLevel="1">
      <c r="A91" s="12"/>
      <c r="B91" s="6" t="str">
        <v>色差：ΔE</v>
      </c>
      <c r="C91" s="6"/>
      <c r="D91" s="6"/>
      <c r="E91" s="6"/>
      <c r="F91" s="6"/>
      <c r="G91" s="6"/>
      <c r="H91" s="6"/>
    </row>
    <row r="92" ht="23" customHeight="1" outlineLevel="1">
      <c r="A92" s="12"/>
      <c r="B92" s="6" t="str">
        <v>色度：b*</v>
      </c>
      <c r="C92" s="6"/>
      <c r="D92" s="6"/>
      <c r="E92" s="6"/>
      <c r="F92" s="6"/>
      <c r="G92" s="6"/>
      <c r="H92" s="6"/>
    </row>
    <row r="93" ht="23" customHeight="1" outlineLevel="1">
      <c r="A93" s="12"/>
      <c r="B93" s="6" t="str">
        <v>明度：L*</v>
      </c>
      <c r="C93" s="6"/>
      <c r="D93" s="6"/>
      <c r="E93" s="6"/>
      <c r="F93" s="6"/>
      <c r="G93" s="6"/>
      <c r="H93" s="6"/>
    </row>
    <row r="94" ht="42" customHeight="1" outlineLevel="1">
      <c r="A94" s="12"/>
      <c r="B94" s="6" t="str">
        <v>钢丝绒耐磨（次）
300 g；1 cm×1 cm</v>
      </c>
      <c r="C94" s="6"/>
      <c r="D94" s="6"/>
      <c r="E94" s="6"/>
      <c r="F94" s="6"/>
      <c r="G94" s="6"/>
      <c r="H94" s="6"/>
    </row>
    <row r="95" ht="42" customHeight="1" outlineLevel="2">
      <c r="A95" s="12"/>
      <c r="B95" s="6" t="str">
        <v>钢丝绒耐磨（次）
500 g；1 cm×1 cm</v>
      </c>
      <c r="C95" s="6"/>
      <c r="D95" s="6"/>
      <c r="E95" s="6"/>
      <c r="F95" s="6"/>
      <c r="G95" s="6"/>
      <c r="H95" s="6"/>
    </row>
    <row r="96" ht="42" customHeight="1" outlineLevel="2">
      <c r="A96" s="12"/>
      <c r="B96" s="6" t="str">
        <v>钢丝绒耐磨（次）
1 kg；1 cm×1 cm</v>
      </c>
      <c r="C96" s="6"/>
      <c r="D96" s="6"/>
      <c r="E96" s="6"/>
      <c r="F96" s="6"/>
      <c r="G96" s="6"/>
      <c r="H96" s="6"/>
    </row>
    <row r="97" ht="42" customHeight="1" outlineLevel="2">
      <c r="A97" s="12"/>
      <c r="B97" s="6" t="str">
        <v>钢丝绒耐磨（次）
300 g；2 cm×2 cm</v>
      </c>
      <c r="C97" s="6"/>
      <c r="D97" s="6"/>
      <c r="E97" s="6"/>
      <c r="F97" s="6"/>
      <c r="G97" s="6"/>
      <c r="H97" s="6"/>
    </row>
    <row r="98" ht="42" customHeight="1" outlineLevel="2">
      <c r="A98" s="12"/>
      <c r="B98" s="6" t="str">
        <v>钢丝绒耐磨（次）
500 g；2 cm×2 cm</v>
      </c>
      <c r="C98" s="6"/>
      <c r="D98" s="6"/>
      <c r="E98" s="6"/>
      <c r="F98" s="6"/>
      <c r="G98" s="6"/>
      <c r="H98" s="6"/>
    </row>
    <row r="99" ht="42" customHeight="1" outlineLevel="2">
      <c r="A99" s="12"/>
      <c r="B99" s="6" t="str">
        <v>钢丝绒耐磨（次）
1 kg；2 cm×2 cm</v>
      </c>
      <c r="C99" s="6"/>
      <c r="D99" s="6"/>
      <c r="E99" s="6"/>
      <c r="F99" s="6"/>
      <c r="G99" s="6"/>
      <c r="H99" s="6"/>
    </row>
    <row r="100" ht="23" customHeight="1" outlineLevel="2">
      <c r="A100" s="12"/>
      <c r="B100" s="6" t="str">
        <v>RCA耐磨（次）</v>
      </c>
      <c r="C100" s="6"/>
      <c r="D100" s="6"/>
      <c r="E100" s="6"/>
      <c r="F100" s="6"/>
      <c r="G100" s="6"/>
      <c r="H100" s="6"/>
    </row>
    <row r="101" ht="42" customHeight="1" outlineLevel="2">
      <c r="A101" s="12"/>
      <c r="B101" s="6" t="str">
        <v>Taber耐磨：雾度/变化
（% / 百分点）</v>
      </c>
      <c r="C101" s="6"/>
      <c r="D101" s="6"/>
      <c r="E101" s="6"/>
      <c r="F101" s="6"/>
      <c r="G101" s="6"/>
      <c r="H101" s="6"/>
    </row>
    <row r="102" ht="23" customHeight="1" outlineLevel="2">
      <c r="A102" s="12"/>
      <c r="B102" s="6" t="str">
        <v>Taber耐磨后透光率（%）</v>
      </c>
      <c r="C102" s="6"/>
      <c r="D102" s="6"/>
      <c r="E102" s="6"/>
      <c r="F102" s="6"/>
      <c r="G102" s="6"/>
      <c r="H102" s="6"/>
    </row>
    <row r="103" ht="42" customHeight="1" outlineLevel="2">
      <c r="A103" s="12"/>
      <c r="B103" s="6" t="str">
        <v>橡皮擦耐磨（次）
CS-10，500 g</v>
      </c>
      <c r="C103" s="6"/>
      <c r="D103" s="6"/>
      <c r="E103" s="6"/>
      <c r="F103" s="6"/>
      <c r="G103" s="6"/>
      <c r="H103" s="6"/>
    </row>
    <row r="104" ht="23" customHeight="1" outlineLevel="1">
      <c r="A104" s="12"/>
      <c r="B104" s="6" t="str">
        <v>水接触角（°）</v>
      </c>
      <c r="C104" s="6"/>
      <c r="D104" s="6"/>
      <c r="E104" s="6"/>
      <c r="F104" s="6"/>
      <c r="G104" s="6"/>
      <c r="H104" s="6"/>
    </row>
    <row r="105" ht="23" customHeight="1" outlineLevel="2">
      <c r="A105" s="12"/>
      <c r="B105" s="6" t="str">
        <v>正十六烷接触角（°）</v>
      </c>
      <c r="C105" s="6"/>
      <c r="D105" s="6"/>
      <c r="E105" s="6"/>
      <c r="F105" s="6"/>
      <c r="G105" s="6"/>
      <c r="H105" s="6"/>
    </row>
    <row r="106" ht="23" customHeight="1" outlineLevel="2">
      <c r="A106" s="12"/>
      <c r="B106" s="6" t="str">
        <v>二碘甲烷接触角（°）</v>
      </c>
      <c r="C106" s="6"/>
      <c r="D106" s="6"/>
      <c r="E106" s="6"/>
      <c r="F106" s="6"/>
      <c r="G106" s="6"/>
      <c r="H106" s="6"/>
    </row>
    <row r="107" ht="23" customHeight="1" outlineLevel="2">
      <c r="A107" s="12"/>
      <c r="B107" s="6" t="str">
        <v>水煮后板面</v>
      </c>
      <c r="C107" s="6"/>
      <c r="D107" s="6"/>
      <c r="E107" s="6"/>
      <c r="F107" s="6"/>
      <c r="G107" s="6"/>
      <c r="H107" s="6"/>
    </row>
    <row r="108" ht="23" customHeight="1" outlineLevel="2">
      <c r="A108" s="12"/>
      <c r="B108" s="6" t="str">
        <v>水煮后：水接触角（°）</v>
      </c>
      <c r="C108" s="6"/>
      <c r="D108" s="6"/>
      <c r="E108" s="6"/>
      <c r="F108" s="6"/>
      <c r="G108" s="6"/>
      <c r="H108" s="6"/>
    </row>
    <row r="109" ht="42" customHeight="1" outlineLevel="2">
      <c r="A109" s="12"/>
      <c r="B109" s="6" t="str">
        <v>水煮后：正十六烷接触角（°）</v>
      </c>
      <c r="C109" s="6"/>
      <c r="D109" s="6"/>
      <c r="E109" s="6"/>
      <c r="F109" s="6"/>
      <c r="G109" s="6"/>
      <c r="H109" s="6"/>
    </row>
    <row r="110" ht="42" customHeight="1" outlineLevel="2">
      <c r="A110" s="12"/>
      <c r="B110" s="6" t="str">
        <v>水煮后：二碘甲烷接触角（°）</v>
      </c>
      <c r="C110" s="6"/>
      <c r="D110" s="6"/>
      <c r="E110" s="6"/>
      <c r="F110" s="6"/>
      <c r="G110" s="6"/>
      <c r="H110" s="6"/>
    </row>
    <row r="111" ht="58" customHeight="1" outlineLevel="1">
      <c r="A111" s="12"/>
      <c r="B111" s="6" t="str">
        <v>蓝色记号笔</v>
      </c>
      <c r="C111" s="6"/>
      <c r="D111" s="6"/>
      <c r="E111" s="6"/>
      <c r="F111" s="6"/>
      <c r="G111" s="6"/>
      <c r="H111" s="6"/>
    </row>
    <row r="112" ht="58" customHeight="1" outlineLevel="2">
      <c r="A112" s="12"/>
      <c r="B112" s="6" t="str">
        <v>黑色记号笔</v>
      </c>
      <c r="C112" s="6"/>
      <c r="D112" s="6"/>
      <c r="E112" s="6"/>
      <c r="F112" s="6"/>
      <c r="G112" s="6"/>
      <c r="H112" s="6"/>
    </row>
    <row r="113" ht="58" customHeight="1" outlineLevel="2">
      <c r="A113" s="12"/>
      <c r="B113" s="6" t="str">
        <v>双杰笔</v>
      </c>
      <c r="C113" s="6"/>
      <c r="D113" s="6"/>
      <c r="E113" s="6"/>
      <c r="F113" s="6"/>
      <c r="G113" s="6"/>
      <c r="H113" s="6"/>
    </row>
    <row r="114" ht="58" customHeight="1" outlineLevel="2">
      <c r="A114" s="12"/>
      <c r="B114" s="6" t="str">
        <v>荧光笔</v>
      </c>
      <c r="C114" s="6"/>
      <c r="D114" s="6"/>
      <c r="E114" s="6"/>
      <c r="F114" s="6"/>
      <c r="G114" s="6"/>
      <c r="H114" s="6"/>
    </row>
    <row r="115" ht="42" customHeight="1" outlineLevel="2">
      <c r="A115" s="12"/>
      <c r="B115" s="6" t="str">
        <v>达因笔（笔号 / 收缩表现）</v>
      </c>
      <c r="C115" s="6"/>
      <c r="D115" s="6"/>
      <c r="E115" s="6"/>
      <c r="F115" s="6"/>
      <c r="G115" s="6"/>
      <c r="H115" s="6"/>
    </row>
    <row r="116" ht="42" customHeight="1" outlineLevel="1">
      <c r="A116" s="12"/>
      <c r="B116" s="6" t="str">
        <v>弯曲韧性
轴径（mm）/ 裂纹等结果</v>
      </c>
      <c r="C116" s="6"/>
      <c r="D116" s="6"/>
      <c r="E116" s="6"/>
      <c r="F116" s="6"/>
      <c r="G116" s="6"/>
      <c r="H116" s="6"/>
    </row>
    <row r="117" ht="23" customHeight="1" outlineLevel="1">
      <c r="A117" s="12"/>
      <c r="B117" s="6" t="str">
        <v>翘曲度（cm）</v>
      </c>
      <c r="C117" s="6"/>
      <c r="D117" s="6"/>
      <c r="E117" s="6"/>
      <c r="F117" s="6"/>
      <c r="G117" s="6"/>
      <c r="H117" s="6"/>
    </row>
    <row r="118" ht="23" customHeight="1" outlineLevel="1">
      <c r="A118" s="12"/>
      <c r="B118" s="6" t="str">
        <v>耐酸雨</v>
      </c>
      <c r="C118" s="6"/>
      <c r="D118" s="6"/>
      <c r="E118" s="6"/>
      <c r="F118" s="6"/>
      <c r="G118" s="6"/>
      <c r="H118" s="6"/>
    </row>
    <row r="119" ht="23" customHeight="1" outlineLevel="2">
      <c r="A119" s="12"/>
      <c r="B119" s="6" t="str">
        <v>耐溶剂</v>
      </c>
      <c r="C119" s="6"/>
      <c r="D119" s="6"/>
      <c r="E119" s="6"/>
      <c r="F119" s="6"/>
      <c r="G119" s="6"/>
      <c r="H119" s="6"/>
    </row>
    <row r="120" ht="42" customHeight="1" outlineLevel="2">
      <c r="A120" s="12"/>
      <c r="B120" s="6" t="str">
        <v>耐芥末酱（现象 / ΔE）</v>
      </c>
      <c r="C120" s="6"/>
      <c r="D120" s="6"/>
      <c r="E120" s="6"/>
      <c r="F120" s="6"/>
      <c r="G120" s="6"/>
      <c r="H120" s="6"/>
    </row>
    <row r="121" ht="42" customHeight="1" outlineLevel="2">
      <c r="A121" s="12"/>
      <c r="B121" s="6" t="str">
        <v>耐防晒霜（现象 / ΔE）</v>
      </c>
      <c r="C121" s="6"/>
      <c r="D121" s="6"/>
      <c r="E121" s="6"/>
      <c r="F121" s="6"/>
      <c r="G121" s="6"/>
      <c r="H121" s="6"/>
    </row>
    <row r="122" ht="23" customHeight="1" outlineLevel="2">
      <c r="A122" s="12"/>
      <c r="B122" s="6" t="str">
        <v>耐老化：ΔE</v>
      </c>
      <c r="C122" s="6"/>
      <c r="D122" s="6"/>
      <c r="E122" s="6"/>
      <c r="F122" s="6"/>
      <c r="G122" s="6"/>
      <c r="H122" s="6"/>
    </row>
    <row r="123" ht="23" customHeight="1" outlineLevel="2">
      <c r="A123" s="12"/>
      <c r="B123" s="6" t="str">
        <v>QUV后：ΔE</v>
      </c>
      <c r="C123" s="6"/>
      <c r="D123" s="6"/>
      <c r="E123" s="6"/>
      <c r="F123" s="6"/>
      <c r="G123" s="6"/>
      <c r="H123" s="6"/>
    </row>
    <row r="124" ht="23" customHeight="1" outlineLevel="1">
      <c r="A124" s="12"/>
      <c r="B124" s="6" t="str">
        <v>电阻（Ω）</v>
      </c>
      <c r="C124" s="6"/>
      <c r="D124" s="6"/>
      <c r="E124" s="6"/>
      <c r="F124" s="6"/>
      <c r="G124" s="6"/>
      <c r="H124" s="6"/>
    </row>
    <row r="125" ht="23" customHeight="1" outlineLevel="2">
      <c r="A125" s="12"/>
      <c r="B125" s="6" t="str">
        <v>拉伸强度（MPa）</v>
      </c>
      <c r="C125" s="6"/>
      <c r="D125" s="6"/>
      <c r="E125" s="6"/>
      <c r="F125" s="6"/>
      <c r="G125" s="6"/>
      <c r="H125" s="6"/>
    </row>
    <row r="126" ht="23" customHeight="1" outlineLevel="2">
      <c r="A126" s="12"/>
      <c r="B126" s="6" t="str">
        <v>伸长率（%）</v>
      </c>
      <c r="C126" s="17"/>
      <c r="D126" s="17"/>
      <c r="E126" s="17"/>
      <c r="F126" s="17"/>
      <c r="G126" s="17"/>
      <c r="H126" s="17"/>
    </row>
    <row r="127" ht="23" customHeight="1" outlineLevel="2">
      <c r="A127" s="12"/>
      <c r="B127" s="6" t="str">
        <v>剥离力（N）</v>
      </c>
      <c r="C127" s="6"/>
      <c r="D127" s="6"/>
      <c r="E127" s="6"/>
      <c r="F127" s="6"/>
      <c r="G127" s="6"/>
      <c r="H127" s="6"/>
    </row>
    <row r="128" ht="23" customHeight="1" outlineLevel="2">
      <c r="A128" s="12"/>
      <c r="B128" s="6" t="str">
        <v>涂层伸长率（%）</v>
      </c>
      <c r="C128" s="17"/>
      <c r="D128" s="17"/>
      <c r="E128" s="17"/>
      <c r="F128" s="17"/>
      <c r="G128" s="17"/>
      <c r="H128" s="17"/>
    </row>
    <row r="129" ht="42" customHeight="1" outlineLevel="2">
      <c r="A129" s="12"/>
      <c r="B129" s="6" t="str">
        <v>修复时间（s）</v>
      </c>
      <c r="C129" s="6"/>
      <c r="D129" s="6"/>
      <c r="E129" s="6"/>
      <c r="F129" s="6"/>
      <c r="G129" s="6"/>
      <c r="H129" s="6"/>
    </row>
    <row r="130" ht="23" customHeight="1" outlineLevel="2">
      <c r="A130" s="12"/>
      <c r="B130" s="6" t="str">
        <v>静摩擦系数</v>
      </c>
      <c r="C130" s="6"/>
      <c r="D130" s="6"/>
      <c r="E130" s="6"/>
      <c r="F130" s="6"/>
      <c r="G130" s="6"/>
      <c r="H130" s="6"/>
    </row>
    <row r="131" ht="23" customHeight="1" outlineLevel="2">
      <c r="A131" s="12"/>
      <c r="B131" s="6" t="str">
        <v>动摩擦系数</v>
      </c>
      <c r="C131" s="6"/>
      <c r="D131" s="6"/>
      <c r="E131" s="6"/>
      <c r="F131" s="6"/>
      <c r="G131" s="6"/>
      <c r="H131" s="6"/>
    </row>
    <row r="132" ht="23" customHeight="1" outlineLevel="2">
      <c r="A132" s="12"/>
      <c r="B132" s="6" t="str">
        <v>抗刮伤：指甲刮</v>
      </c>
      <c r="C132" s="6"/>
      <c r="D132" s="6"/>
      <c r="E132" s="6"/>
      <c r="F132" s="6"/>
      <c r="G132" s="6"/>
      <c r="H132" s="6"/>
    </row>
    <row r="133" ht="23" customHeight="1" outlineLevel="2">
      <c r="A133" s="12"/>
      <c r="B133" s="6" t="str">
        <v>抗刮伤：铜刷</v>
      </c>
      <c r="C133" s="6"/>
      <c r="D133" s="6"/>
      <c r="E133" s="6"/>
      <c r="F133" s="6"/>
      <c r="G133" s="6"/>
      <c r="H133" s="6"/>
    </row>
    <row r="134" ht="23" customHeight="1" outlineLevel="1">
      <c r="A134" s="12"/>
      <c r="B134" s="6"/>
      <c r="C134" s="6"/>
      <c r="D134" s="6"/>
      <c r="E134" s="6"/>
      <c r="F134" s="6"/>
      <c r="G134" s="6"/>
      <c r="H134" s="6"/>
    </row>
    <row r="135" ht="23" customHeight="1" outlineLevel="1">
      <c r="A135" s="12"/>
      <c r="B135" s="6"/>
      <c r="C135" s="6"/>
      <c r="D135" s="6"/>
      <c r="E135" s="6"/>
      <c r="F135" s="6"/>
      <c r="G135" s="6"/>
      <c r="H135" s="6"/>
    </row>
    <row r="136" ht="29" customHeight="1">
      <c r="A136" s="12" t="str">
        <v>实验结论</v>
      </c>
      <c r="B136" s="6"/>
      <c r="C136" s="6"/>
      <c r="D136" s="6"/>
      <c r="E136" s="6"/>
      <c r="F136" s="6"/>
      <c r="G136" s="6"/>
      <c r="H136" s="6"/>
    </row>
    <row r="137" ht="29" customHeight="1">
      <c r="A137" s="12"/>
      <c r="B137" s="6"/>
      <c r="C137" s="6"/>
      <c r="D137" s="6"/>
      <c r="E137" s="6"/>
      <c r="F137" s="6"/>
      <c r="G137" s="6"/>
      <c r="H137" s="6"/>
    </row>
    <row r="138" ht="29" customHeight="1">
      <c r="A138" s="6" t="str">
        <v>备注</v>
      </c>
      <c r="B138" s="6"/>
      <c r="C138" s="6"/>
      <c r="D138" s="6"/>
      <c r="E138" s="6"/>
      <c r="F138" s="6"/>
      <c r="G138" s="6"/>
      <c r="H138" s="6"/>
    </row>
  </sheetData>
  <mergeCells count="14">
    <mergeCell ref="B1:H1"/>
    <mergeCell ref="B3:H3"/>
    <mergeCell ref="B4:H4"/>
    <mergeCell ref="B5:H5"/>
    <mergeCell ref="B6:H6"/>
    <mergeCell ref="A7:A18"/>
    <mergeCell ref="A19:A48"/>
    <mergeCell ref="A49:A50"/>
    <mergeCell ref="A51:A60"/>
    <mergeCell ref="A61:A63"/>
    <mergeCell ref="A64:A135"/>
    <mergeCell ref="A136:A137"/>
    <mergeCell ref="B136:H137"/>
    <mergeCell ref="B138:H138"/>
  </mergeCells>
  <dataValidations count="2">
    <dataValidation type="list" sqref="C10:H10">
      <formula1>"UV光固化,热固化,EB电子束固化,/"</formula1>
    </dataValidation>
    <dataValidation type="custom" allowBlank="1" showInputMessage="0" showErrorMessage="1" errorStyle="stop" sqref="C52:H59" errorTitle="物料用量格式不正确" error="可填非负数字、带g的用量（如90g）或/。">
      <formula1>IFERROR(IF((C52="")+(C52="/"),0,IF(ISNUMBER(C52),C52,IF((RIGHT(LOWER(TRIM(C52)),1)="g")*ISERROR(SEARCH("%",C52))*ISERROR(SEARCH("/",C52)),--LEFT(TRIM(C52),LEN(TRIM(C52))-1),-1))),-1)&gt;=0</formula1>
    </dataValidation>
  </dataValidations>
  <printOptions horizontalCentered="1" gridLines="0" headings="0"/>
  <pageMargins left="0.25" right="0.25" top="0.35" bottom="0.35" header="0.15" footer="0.15"/>
  <pageSetup paperSize="9" orientation="landscape" fitToWidth="1" fitToHeight="0"/>
  <headerFooter>
    <oddFooter>&amp;L测试实验记录&amp;C第 &amp;P 页 / 共 &amp;N 页</oddFooter>
  </headerFooter>
</worksheet>
</file>