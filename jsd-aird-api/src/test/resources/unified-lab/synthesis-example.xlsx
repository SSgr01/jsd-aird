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s\IdeaProjects\jsd-aird\outputs\01a16be3-bd38-7e63-be4b-4c967813e43e\"/>
    </mc:Choice>
  </mc:AlternateContent>
  <bookViews>
    <workbookView windowWidth="24750" windowHeight="12790"/>
  </bookViews>
  <sheets>
    <sheet name="合成实验" sheetId="1" r:id="rId1"/>
  </sheets>
  <definedNames>
    <definedName name="_xlnm.Print_Area" localSheetId="0">合成实验!$A$1:$H$54</definedName>
    <definedName name="_xlnm.Print_Titles" localSheetId="0">合成实验!$1:$2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<sst xmlns="http://schemas.openxmlformats.org/spreadsheetml/2006/main" count="160" uniqueCount="95">
  <si>
    <t>实验题目</t>
  </si>
  <si>
    <t>水性羟基丙烯酸乳液制备温度对照</t>
  </si>
  <si>
    <t>实验人</t>
  </si>
  <si>
    <t>实验员</t>
  </si>
  <si>
    <t>日期</t>
  </si>
  <si>
    <t>2026-10-20T00:00:00.000Z</t>
  </si>
  <si>
    <t>环境温度（℃）</t>
  </si>
  <si>
    <t>相对湿度（%）</t>
  </si>
  <si>
    <t>关联项目</t>
  </si>
  <si>
    <t>水性丙烯酸乳液与热固化涂层评价</t>
  </si>
  <si>
    <t>项目编号</t>
  </si>
  <si>
    <t>SIM-PRJ-202610-001</t>
  </si>
  <si>
    <t>实验背景</t>
  </si>
  <si>
    <t>比较三种制备温度对乳液外观、转化率及黏度的影响，各设置两个独立模拟批次。</t>
  </si>
  <si>
    <t>实验目的</t>
  </si>
  <si>
    <t>在相同投料量与顺序下，记录制备温度差异和出料表现。</t>
  </si>
  <si>
    <t>实验方案</t>
  </si>
  <si>
    <t>80℃、82℃、85℃各两批；每批总投料1000 g。所有配方与结果均为人为编写的演示数据。</t>
  </si>
  <si>
    <t>实验内容</t>
  </si>
  <si>
    <t>物料编码 / 用量（g）</t>
  </si>
  <si>
    <t>80℃ / 平行1</t>
  </si>
  <si>
    <t>80℃ / 平行2</t>
  </si>
  <si>
    <t>82℃ / 平行1</t>
  </si>
  <si>
    <t>82℃ / 平行2</t>
  </si>
  <si>
    <t>85℃ / 平行1</t>
  </si>
  <si>
    <t>85℃ / 平行2</t>
  </si>
  <si>
    <t>实验编号</t>
  </si>
  <si>
    <t/>
  </si>
  <si>
    <t>SIM-SYN-001</t>
  </si>
  <si>
    <t>SIM-SYN-002</t>
  </si>
  <si>
    <t>SIM-SYN-003</t>
  </si>
  <si>
    <t>SIM-SYN-004</t>
  </si>
  <si>
    <t>SIM-SYN-005</t>
  </si>
  <si>
    <t>SIM-SYN-006</t>
  </si>
  <si>
    <t>配方
用量：g
按行顺序投料</t>
  </si>
  <si>
    <t>SIM-DIW-001</t>
  </si>
  <si>
    <t>420g</t>
  </si>
  <si>
    <t>SIM-EML-001</t>
  </si>
  <si>
    <t>SIM-MMA-001</t>
  </si>
  <si>
    <t>SIM-BA-001</t>
  </si>
  <si>
    <t>SIM-HEA-001</t>
  </si>
  <si>
    <t>SIM-AA-001</t>
  </si>
  <si>
    <t>SIM-INI-001</t>
  </si>
  <si>
    <t>30 g</t>
  </si>
  <si>
    <t>SIM-NEU-001</t>
  </si>
  <si>
    <t>设计参数</t>
  </si>
  <si>
    <t>质量合计（g）</t>
  </si>
  <si>
    <t>固体质量（g）</t>
  </si>
  <si>
    <t>理论半封端固含（%）</t>
  </si>
  <si>
    <t>/</t>
  </si>
  <si>
    <t>实际半封端固含（%）</t>
  </si>
  <si>
    <t>理论羟值（mg KOH/g）</t>
  </si>
  <si>
    <t>转化率（%）</t>
  </si>
  <si>
    <t>理论产物质量（g）</t>
  </si>
  <si>
    <t>产物质量（g）</t>
  </si>
  <si>
    <t>回收率（%）</t>
  </si>
  <si>
    <t>氟含量（%）</t>
  </si>
  <si>
    <t>引发剂含量（%）</t>
  </si>
  <si>
    <t>合成工艺</t>
  </si>
  <si>
    <t>工艺简介</t>
  </si>
  <si>
    <t>按配方行序分段投料；聚合保温后冷却出料</t>
  </si>
  <si>
    <t>反应温度（℃）
油温 / 料温</t>
  </si>
  <si>
    <t>料温80℃
油温85℃</t>
  </si>
  <si>
    <t>料温82℃
油温87℃</t>
  </si>
  <si>
    <t>料温85℃
油温90℃</t>
  </si>
  <si>
    <t>抽真空阶段温度（℃）</t>
  </si>
  <si>
    <t>滴加温度（℃）
油温 / 料温</t>
  </si>
  <si>
    <t>反应时间（s/min/h）</t>
  </si>
  <si>
    <t>4 h</t>
  </si>
  <si>
    <t>出料外观</t>
  </si>
  <si>
    <t>提纯前</t>
  </si>
  <si>
    <t>乳白乳液
少量细粒</t>
  </si>
  <si>
    <t>均匀乳液
轻微蓝光</t>
  </si>
  <si>
    <t>乳白乳液
少量凝聚物</t>
  </si>
  <si>
    <t>提纯后</t>
  </si>
  <si>
    <t>过滤后无可见颗粒</t>
  </si>
  <si>
    <t>冷却后</t>
  </si>
  <si>
    <t>乳白均匀
未见分层</t>
  </si>
  <si>
    <t>测试结果</t>
  </si>
  <si>
    <t>黏度
cP（mPa·s）/ KU / s</t>
  </si>
  <si>
    <t>280 cP
旋转法，25℃
2#，60 rpm</t>
  </si>
  <si>
    <t>285 cP
旋转法，25℃
2#，60 rpm</t>
  </si>
  <si>
    <t>260 cP
旋转法，25℃
2#，60 rpm</t>
  </si>
  <si>
    <t>265 cP
旋转法，25℃
2#，60 rpm</t>
  </si>
  <si>
    <t>350 cP
旋转法，25℃
2#，60 rpm</t>
  </si>
  <si>
    <t>360 cP
旋转法，25℃
2#，60 rpm</t>
  </si>
  <si>
    <t>固含（%）</t>
  </si>
  <si>
    <t>折光率</t>
  </si>
  <si>
    <t>含水率（%）</t>
  </si>
  <si>
    <t>最优方案</t>
  </si>
  <si>
    <t>优选</t>
  </si>
  <si>
    <t>备注</t>
  </si>
  <si>
    <t>全部数据及SIM-*编码为模拟，仅供表格展示，不作为真实实验或训练样本。半封端、真空及滴加字段在本情景不适用；“提纯”阶段按过滤记录。理论羟值按干树脂，引发剂含量按总投料质量。</t>
  </si>
  <si>
    <t>小结</t>
  </si>
  <si>
    <t>本模拟记录中，82℃组出料均匀、转化率约99.2%—99.3%，综合外观与黏度选择SIM-SYN-003用于后续涂层配方演示；该结论仅对应本组虚构数据。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</si>
</sst>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.0"/>
    <numFmt numFmtId="178" formatCode="0.000%"/>
  </numFmts>
  <fonts count="24">
    <font>
      <sz val="11"/>
      <name val="Carlito"/>
      <charset val="134"/>
    </font>
    <font>
      <b/>
      <sz val="13"/>
      <color rgb="FF000000"/>
      <name val="宋体"/>
      <charset val="134"/>
    </font>
    <font>
      <sz val="11"/>
      <color rgb="FF000000"/>
      <name val="宋体"/>
      <charset val="134"/>
    </font>
    <font>
      <b/>
      <sz val="11"/>
      <color rgb="FF000000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0" fillId="0" borderId="0"/>
  </cellStyleXfs>
  <cellXfs count="12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2" fillId="2" borderId="1" xfId="49" applyNumberFormat="1" applyFont="1" applyFill="1" applyBorder="1" applyAlignment="1">
      <alignment horizontal="left" vertical="center" wrapText="1"/>
    </xf>
    <xf numFmtId="0" fontId="2" fillId="2" borderId="1" xfId="49" applyNumberFormat="1" applyFont="1" applyFill="1" applyBorder="1" applyAlignment="1">
      <alignment horizontal="center" vertical="center" wrapText="1"/>
    </xf>
    <xf numFmtId="176" fontId="2" fillId="2" borderId="1" xfId="49" applyNumberFormat="1" applyFont="1" applyFill="1" applyBorder="1" applyAlignment="1">
      <alignment horizontal="center" vertical="center" wrapText="1"/>
    </xf>
    <xf numFmtId="177" fontId="2" fillId="2" borderId="1" xfId="49" applyNumberFormat="1" applyFont="1" applyFill="1" applyBorder="1" applyAlignment="1">
      <alignment horizontal="center" vertical="center" wrapText="1"/>
    </xf>
    <xf numFmtId="9" fontId="2" fillId="2" borderId="1" xfId="49" applyNumberFormat="1" applyFont="1" applyFill="1" applyBorder="1" applyAlignment="1">
      <alignment horizontal="center" vertical="center" wrapText="1"/>
    </xf>
    <xf numFmtId="0" fontId="3" fillId="2" borderId="1" xfId="49" applyNumberFormat="1" applyFont="1" applyFill="1" applyBorder="1" applyAlignment="1">
      <alignment horizontal="center" vertical="center" wrapText="1"/>
    </xf>
    <xf numFmtId="0" fontId="3" fillId="3" borderId="1" xfId="49" applyNumberFormat="1" applyFont="1" applyFill="1" applyBorder="1" applyAlignment="1">
      <alignment horizontal="center" vertical="center" wrapText="1"/>
    </xf>
    <xf numFmtId="2" fontId="2" fillId="2" borderId="1" xfId="49" applyNumberFormat="1" applyFont="1" applyFill="1" applyBorder="1" applyAlignment="1">
      <alignment horizontal="center" vertical="center" wrapText="1"/>
    </xf>
    <xf numFmtId="10" fontId="2" fillId="2" borderId="1" xfId="49" applyNumberFormat="1" applyFont="1" applyFill="1" applyBorder="1" applyAlignment="1">
      <alignment horizontal="center" vertical="center" wrapText="1"/>
    </xf>
    <xf numFmtId="178" fontId="2" fillId="2" borderId="1" xfId="49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H54"/>
  <sheetViews>
    <sheetView showGridLines="0" tabSelected="1" zoomScale="85" zoomScaleNormal="85" workbookViewId="0">
      <pane ySplit="2" topLeftCell="A3" activePane="bottomLeft" state="frozen"/>
      <selection/>
      <selection pane="bottomLeft" activeCell="D8" sqref="D8"/>
    </sheetView>
  </sheetViews>
  <sheetFormatPr defaultColWidth="9" defaultRowHeight="14.5" outlineLevelCol="7"/>
  <cols>
    <col min="1" max="1" width="13" customWidth="1"/>
    <col min="2" max="2" width="31" customWidth="1"/>
    <col min="3" max="8" width="16" customWidth="1"/>
  </cols>
  <sheetData>
    <row r="1" ht="32" customHeight="1" spans="1:8">
      <c r="A1" s="1" t="s">
        <v>0</v>
      </c>
      <c r="B1" s="2" t="s">
        <v>1</v>
      </c>
      <c r="C1" s="2"/>
      <c r="D1" s="2"/>
      <c r="E1" s="2"/>
      <c r="F1" s="2"/>
      <c r="G1" s="2"/>
      <c r="H1" s="2"/>
    </row>
    <row r="2" ht="28" customHeight="1" spans="1:8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5">
        <v>25</v>
      </c>
      <c r="G2" s="3" t="s">
        <v>7</v>
      </c>
      <c r="H2" s="6">
        <v>0.55</v>
      </c>
    </row>
    <row r="3" ht="26" customHeight="1" spans="1:8">
      <c r="A3" s="3" t="s">
        <v>8</v>
      </c>
      <c r="B3" s="2" t="s">
        <v>9</v>
      </c>
      <c r="C3" s="2"/>
      <c r="D3" s="2"/>
      <c r="E3" s="2"/>
      <c r="F3" s="2"/>
      <c r="G3" s="2"/>
      <c r="H3" s="2"/>
    </row>
    <row r="4" ht="23" customHeight="1" spans="1:8">
      <c r="A4" s="3" t="s">
        <v>10</v>
      </c>
      <c r="B4" s="2" t="s">
        <v>11</v>
      </c>
      <c r="C4" s="2"/>
      <c r="D4" s="2"/>
      <c r="E4" s="2"/>
      <c r="F4" s="2"/>
      <c r="G4" s="2"/>
      <c r="H4" s="2"/>
    </row>
    <row r="5" ht="42" customHeight="1" spans="1:8">
      <c r="A5" s="3" t="s">
        <v>12</v>
      </c>
      <c r="B5" s="2" t="s">
        <v>13</v>
      </c>
      <c r="C5" s="2"/>
      <c r="D5" s="2"/>
      <c r="E5" s="2"/>
      <c r="F5" s="2"/>
      <c r="G5" s="2"/>
      <c r="H5" s="2"/>
    </row>
    <row r="6" ht="34" customHeight="1" spans="1:8">
      <c r="A6" s="3" t="s">
        <v>14</v>
      </c>
      <c r="B6" s="2" t="s">
        <v>15</v>
      </c>
      <c r="C6" s="2"/>
      <c r="D6" s="2"/>
      <c r="E6" s="2"/>
      <c r="F6" s="2"/>
      <c r="G6" s="2"/>
      <c r="H6" s="2"/>
    </row>
    <row r="7" ht="52" customHeight="1" spans="1:8">
      <c r="A7" s="3" t="s">
        <v>16</v>
      </c>
      <c r="B7" s="3" t="s">
        <v>17</v>
      </c>
      <c r="C7" s="3"/>
      <c r="D7" s="3"/>
      <c r="E7" s="3"/>
      <c r="F7" s="3"/>
      <c r="G7" s="3"/>
      <c r="H7" s="3"/>
    </row>
    <row r="8" ht="42" customHeight="1" spans="1:8">
      <c r="A8" s="3" t="s">
        <v>18</v>
      </c>
      <c r="B8" s="3"/>
      <c r="C8" s="3" t="str">
        <v>反应温度80℃
平行实验1</v>
      </c>
      <c r="D8" s="3" t="str">
        <v>反应温度80℃
平行实验2</v>
      </c>
      <c r="E8" s="3" t="str">
        <v>反应温度82℃
平行实验1</v>
      </c>
      <c r="F8" s="3" t="str">
        <v>反应温度82℃
平行实验2</v>
      </c>
      <c r="G8" s="3" t="str">
        <v>反应温度85℃
平行实验1</v>
      </c>
      <c r="H8" s="3" t="str">
        <v>反应温度85℃
平行实验2</v>
      </c>
    </row>
    <row r="9" ht="30" customHeight="1" spans="1:8">
      <c r="A9" s="3" t="s">
        <v>26</v>
      </c>
      <c r="B9" s="3"/>
      <c r="C9" s="3" t="s">
        <v>28</v>
      </c>
      <c r="D9" s="3" t="s">
        <v>29</v>
      </c>
      <c r="E9" s="3" t="s">
        <v>30</v>
      </c>
      <c r="F9" s="3" t="s">
        <v>31</v>
      </c>
      <c r="G9" s="3" t="s">
        <v>32</v>
      </c>
      <c r="H9" s="3" t="s">
        <v>33</v>
      </c>
    </row>
    <row r="10" ht="23" customHeight="1" spans="1:8">
      <c r="A10" s="7" t="str">
        <v>配方</v>
      </c>
      <c r="B10" s="3" t="s">
        <v>35</v>
      </c>
      <c r="C10" s="3" t="s">
        <v>36</v>
      </c>
      <c r="D10" s="3">
        <v>420</v>
      </c>
      <c r="E10" s="3" t="s">
        <v>36</v>
      </c>
      <c r="F10" s="3">
        <v>420</v>
      </c>
      <c r="G10" s="3" t="s">
        <v>36</v>
      </c>
      <c r="H10" s="3">
        <v>420</v>
      </c>
    </row>
    <row r="11" ht="23" customHeight="1" spans="1:8">
      <c r="A11" s="7"/>
      <c r="B11" s="3" t="s">
        <v>37</v>
      </c>
      <c r="C11" s="3">
        <v>15</v>
      </c>
      <c r="D11" s="3">
        <v>15</v>
      </c>
      <c r="E11" s="3">
        <v>15</v>
      </c>
      <c r="F11" s="3">
        <v>15</v>
      </c>
      <c r="G11" s="3">
        <v>15</v>
      </c>
      <c r="H11" s="3">
        <v>15</v>
      </c>
    </row>
    <row r="12" ht="23" customHeight="1" spans="1:8">
      <c r="A12" s="7"/>
      <c r="B12" s="3" t="s">
        <v>38</v>
      </c>
      <c r="C12" s="3">
        <v>250</v>
      </c>
      <c r="D12" s="3">
        <v>250</v>
      </c>
      <c r="E12" s="3">
        <v>250</v>
      </c>
      <c r="F12" s="3">
        <v>250</v>
      </c>
      <c r="G12" s="3">
        <v>250</v>
      </c>
      <c r="H12" s="3">
        <v>250</v>
      </c>
    </row>
    <row r="13" ht="23" customHeight="1" spans="1:8">
      <c r="A13" s="7"/>
      <c r="B13" s="3" t="s">
        <v>39</v>
      </c>
      <c r="C13" s="3">
        <v>200</v>
      </c>
      <c r="D13" s="3">
        <v>200</v>
      </c>
      <c r="E13" s="3">
        <v>200</v>
      </c>
      <c r="F13" s="3">
        <v>200</v>
      </c>
      <c r="G13" s="3">
        <v>200</v>
      </c>
      <c r="H13" s="3">
        <v>200</v>
      </c>
    </row>
    <row r="14" ht="23" customHeight="1" spans="1:8">
      <c r="A14" s="7"/>
      <c r="B14" s="3" t="s">
        <v>40</v>
      </c>
      <c r="C14" s="3">
        <v>50</v>
      </c>
      <c r="D14" s="3">
        <v>50</v>
      </c>
      <c r="E14" s="3">
        <v>50</v>
      </c>
      <c r="F14" s="3">
        <v>50</v>
      </c>
      <c r="G14" s="3">
        <v>50</v>
      </c>
      <c r="H14" s="3">
        <v>50</v>
      </c>
    </row>
    <row r="15" ht="23" customHeight="1" spans="1:8">
      <c r="A15" s="7"/>
      <c r="B15" s="3" t="s">
        <v>41</v>
      </c>
      <c r="C15" s="3">
        <v>15</v>
      </c>
      <c r="D15" s="3">
        <v>15</v>
      </c>
      <c r="E15" s="3">
        <v>15</v>
      </c>
      <c r="F15" s="3">
        <v>15</v>
      </c>
      <c r="G15" s="3">
        <v>15</v>
      </c>
      <c r="H15" s="3">
        <v>15</v>
      </c>
    </row>
    <row r="16" ht="23" customHeight="1" spans="1:8">
      <c r="A16" s="7"/>
      <c r="B16" s="3" t="s">
        <v>42</v>
      </c>
      <c r="C16" s="3">
        <v>2</v>
      </c>
      <c r="D16" s="3">
        <v>2</v>
      </c>
      <c r="E16" s="3">
        <v>2</v>
      </c>
      <c r="F16" s="3">
        <v>2</v>
      </c>
      <c r="G16" s="3">
        <v>2</v>
      </c>
      <c r="H16" s="3">
        <v>2</v>
      </c>
    </row>
    <row r="17" ht="23" customHeight="1" spans="1:8">
      <c r="A17" s="7"/>
      <c r="B17" s="3" t="s">
        <v>35</v>
      </c>
      <c r="C17" s="3">
        <v>30</v>
      </c>
      <c r="D17" s="3" t="s">
        <v>43</v>
      </c>
      <c r="E17" s="3">
        <v>30</v>
      </c>
      <c r="F17" s="3">
        <v>30</v>
      </c>
      <c r="G17" s="3">
        <v>30</v>
      </c>
      <c r="H17" s="3">
        <v>30</v>
      </c>
    </row>
    <row r="18" ht="23" customHeight="1" spans="1:8">
      <c r="A18" s="7"/>
      <c r="B18" s="3" t="s">
        <v>42</v>
      </c>
      <c r="C18" s="3">
        <v>0.5</v>
      </c>
      <c r="D18" s="3">
        <v>0.5</v>
      </c>
      <c r="E18" s="3">
        <v>0.5</v>
      </c>
      <c r="F18" s="3">
        <v>0.5</v>
      </c>
      <c r="G18" s="3">
        <v>0.5</v>
      </c>
      <c r="H18" s="3">
        <v>0.5</v>
      </c>
    </row>
    <row r="19" ht="23" customHeight="1" spans="1:8">
      <c r="A19" s="7"/>
      <c r="B19" s="3" t="s">
        <v>35</v>
      </c>
      <c r="C19" s="3">
        <v>10</v>
      </c>
      <c r="D19" s="3">
        <v>10</v>
      </c>
      <c r="E19" s="3">
        <v>10</v>
      </c>
      <c r="F19" s="3">
        <v>10</v>
      </c>
      <c r="G19" s="3">
        <v>10</v>
      </c>
      <c r="H19" s="3">
        <v>10</v>
      </c>
    </row>
    <row r="20" ht="23" customHeight="1" spans="1:8">
      <c r="A20" s="7"/>
      <c r="B20" s="3" t="s">
        <v>44</v>
      </c>
      <c r="C20" s="3">
        <v>7.5</v>
      </c>
      <c r="D20" s="3">
        <v>7.5</v>
      </c>
      <c r="E20" s="3">
        <v>7.5</v>
      </c>
      <c r="F20" s="3">
        <v>7.5</v>
      </c>
      <c r="G20" s="3">
        <v>7.5</v>
      </c>
      <c r="H20" s="3">
        <v>7.5</v>
      </c>
    </row>
    <row r="21" ht="23" customHeight="1" spans="1:8">
      <c r="A21" s="7"/>
      <c r="B21" s="3"/>
      <c r="C21" s="3"/>
      <c r="D21" s="3"/>
      <c r="E21" s="3"/>
      <c r="F21" s="3"/>
      <c r="G21" s="3"/>
      <c r="H21" s="3"/>
    </row>
    <row r="22" ht="23" customHeight="1" spans="1:8">
      <c r="A22" s="7"/>
      <c r="B22" s="3"/>
      <c r="C22" s="3"/>
      <c r="D22" s="3"/>
      <c r="E22" s="3"/>
      <c r="F22" s="3"/>
      <c r="G22" s="3"/>
      <c r="H22" s="3"/>
    </row>
    <row r="23" ht="23" customHeight="1" spans="1:8">
      <c r="A23" s="7"/>
      <c r="B23" s="3"/>
      <c r="C23" s="3"/>
      <c r="D23" s="3"/>
      <c r="E23" s="3"/>
      <c r="F23" s="3"/>
      <c r="G23" s="3"/>
      <c r="H23" s="3"/>
    </row>
    <row r="24" ht="23" customHeight="1" spans="1:8">
      <c r="A24" s="7" t="s">
        <v>45</v>
      </c>
      <c r="B24" s="8" t="s">
        <v>46</v>
      </c>
      <c r="C24" s="8">
        <f t="shared" ref="C24:H24" si="0">IF(COUNTA(C10:C23)=0,"",IF(OR(SUMPRODUCT(($B$10:$B$23&lt;&gt;"")*(C10:C23=""))&gt;0,SUMPRODUCT(($B$10:$B$23="")*(C10:C23&lt;&gt;""))&gt;0,MIN(IFERROR(IF((C10="")+(C10="/"),0,IF(ISNUMBER(C10),C10,IF((RIGHT(LOWER(TRIM(C10)),1)="g")*ISERROR(SEARCH("%",C10))*ISERROR(SEARCH("/",C10)),--LEFT(TRIM(C10),LEN(TRIM(C10))-1),-1))),-1),IFERROR(IF((C11="")+(C11="/"),0,IF(ISNUMBER(C11),C11,IF((RIGHT(LOWER(TRIM(C11)),1)="g")*ISERROR(SEARCH("%",C11))*ISERROR(SEARCH("/",C11)),--LEFT(TRIM(C11),LEN(TRIM(C11))-1),-1))),-1),IFERROR(IF((C12="")+(C12="/"),0,IF(ISNUMBER(C12),C12,IF((RIGHT(LOWER(TRIM(C12)),1)="g")*ISERROR(SEARCH("%",C12))*ISERROR(SEARCH("/",C12)),--LEFT(TRIM(C12),LEN(TRIM(C12))-1),-1))),-1),IFERROR(IF((C13="")+(C13="/"),0,IF(ISNUMBER(C13),C13,IF((RIGHT(LOWER(TRIM(C13)),1)="g")*ISERROR(SEARCH("%",C13))*ISERROR(SEARCH("/",C13)),--LEFT(TRIM(C13),LEN(TRIM(C13))-1),-1))),-1),IFERROR(IF((C14="")+(C14="/"),0,IF(ISNUMBER(C14),C14,IF((RIGHT(LOWER(TRIM(C14)),1)="g")*ISERROR(SEARCH("%",C14))*ISERROR(SEARCH("/",C14)),--LEFT(TRIM(C14),LEN(TRIM(C14))-1),-1))),-1),IFERROR(IF((C15="")+(C15="/"),0,IF(ISNUMBER(C15),C15,IF((RIGHT(LOWER(TRIM(C15)),1)="g")*ISERROR(SEARCH("%",C15))*ISERROR(SEARCH("/",C15)),--LEFT(TRIM(C15),LEN(TRIM(C15))-1),-1))),-1),IFERROR(IF((C16="")+(C16="/"),0,IF(ISNUMBER(C16),C16,IF((RIGHT(LOWER(TRIM(C16)),1)="g")*ISERROR(SEARCH("%",C16))*ISERROR(SEARCH("/",C16)),--LEFT(TRIM(C16),LEN(TRIM(C16))-1),-1))),-1),IFERROR(IF((C17="")+(C17="/"),0,IF(ISNUMBER(C17),C17,IF((RIGHT(LOWER(TRIM(C17)),1)="g")*ISERROR(SEARCH("%",C17))*ISERROR(SEARCH("/",C17)),--LEFT(TRIM(C17),LEN(TRIM(C17))-1),-1))),-1),IFERROR(IF((C18="")+(C18="/"),0,IF(ISNUMBER(C18),C18,IF((RIGHT(LOWER(TRIM(C18)),1)="g")*ISERROR(SEARCH("%",C18))*ISERROR(SEARCH("/",C18)),--LEFT(TRIM(C18),LEN(TRIM(C18))-1),-1))),-1),IFERROR(IF((C19="")+(C19="/"),0,IF(ISNUMBER(C19),C19,IF((RIGHT(LOWER(TRIM(C19)),1)="g")*ISERROR(SEARCH("%",C19))*ISERROR(SEARCH("/",C19)),--LEFT(TRIM(C19),LEN(TRIM(C19))-1),-1))),-1),IFERROR(IF((C20="")+(C20="/"),0,IF(ISNUMBER(C20),C20,IF((RIGHT(LOWER(TRIM(C20)),1)="g")*ISERROR(SEARCH("%",C20))*ISERROR(SEARCH("/",C20)),--LEFT(TRIM(C20),LEN(TRIM(C20))-1),-1))),-1),IFERROR(IF((C21="")+(C21="/"),0,IF(ISNUMBER(C21),C21,IF((RIGHT(LOWER(TRIM(C21)),1)="g")*ISERROR(SEARCH("%",C21))*ISERROR(SEARCH("/",C21)),--LEFT(TRIM(C21),LEN(TRIM(C21))-1),-1))),-1),IFERROR(IF((C22="")+(C22="/"),0,IF(ISNUMBER(C22),C22,IF((RIGHT(LOWER(TRIM(C22)),1)="g")*ISERROR(SEARCH("%",C22))*ISERROR(SEARCH("/",C22)),--LEFT(TRIM(C22),LEN(TRIM(C22))-1),-1))),-1),IFERROR(IF((C23="")+(C23="/"),0,IF(ISNUMBER(C23),C23,IF((RIGHT(LOWER(TRIM(C23)),1)="g")*ISERROR(SEARCH("%",C23))*ISERROR(SEARCH("/",C23)),--LEFT(TRIM(C23),LEN(TRIM(C23))-1),-1))),-1))&lt;0),"",SUM(IFERROR(IF((C10="")+(C10="/"),0,IF(ISNUMBER(C10),C10,IF((RIGHT(LOWER(TRIM(C10)),1)="g")*ISERROR(SEARCH("%",C10))*ISERROR(SEARCH("/",C10)),--LEFT(TRIM(C10),LEN(TRIM(C10))-1),-1))),-1),IFERROR(IF((C11="")+(C11="/"),0,IF(ISNUMBER(C11),C11,IF((RIGHT(LOWER(TRIM(C11)),1)="g")*ISERROR(SEARCH("%",C11))*ISERROR(SEARCH("/",C11)),--LEFT(TRIM(C11),LEN(TRIM(C11))-1),-1))),-1),IFERROR(IF((C12="")+(C12="/"),0,IF(ISNUMBER(C12),C12,IF((RIGHT(LOWER(TRIM(C12)),1)="g")*ISERROR(SEARCH("%",C12))*ISERROR(SEARCH("/",C12)),--LEFT(TRIM(C12),LEN(TRIM(C12))-1),-1))),-1),IFERROR(IF((C13="")+(C13="/"),0,IF(ISNUMBER(C13),C13,IF((RIGHT(LOWER(TRIM(C13)),1)="g")*ISERROR(SEARCH("%",C13))*ISERROR(SEARCH("/",C13)),--LEFT(TRIM(C13),LEN(TRIM(C13))-1),-1))),-1),IFERROR(IF((C14="")+(C14="/"),0,IF(ISNUMBER(C14),C14,IF((RIGHT(LOWER(TRIM(C14)),1)="g")*ISERROR(SEARCH("%",C14))*ISERROR(SEARCH("/",C14)),--LEFT(TRIM(C14),LEN(TRIM(C14))-1),-1))),-1),IFERROR(IF((C15="")+(C15="/"),0,IF(ISNUMBER(C15),C15,IF((RIGHT(LOWER(TRIM(C15)),1)="g")*ISERROR(SEARCH("%",C15))*ISERROR(SEARCH("/",C15)),--LEFT(TRIM(C15),LEN(TRIM(C15))-1),-1))),-1),IFERROR(IF((C16="")+(C16="/"),0,IF(ISNUMBER(C16),C16,IF((RIGHT(LOWER(TRIM(C16)),1)="g")*ISERROR(SEARCH("%",C16))*ISERROR(SEARCH("/",C16)),--LEFT(TRIM(C16),LEN(TRIM(C16))-1),-1))),-1),IFERROR(IF((C17="")+(C17="/"),0,IF(ISNUMBER(C17),C17,IF((RIGHT(LOWER(TRIM(C17)),1)="g")*ISERROR(SEARCH("%",C17))*ISERROR(SEARCH("/",C17)),--LEFT(TRIM(C17),LEN(TRIM(C17))-1),-1))),-1),IFERROR(IF((C18="")+(C18="/"),0,IF(ISNUMBER(C18),C18,IF((RIGHT(LOWER(TRIM(C18)),1)="g")*ISERROR(SEARCH("%",C18))*ISERROR(SEARCH("/",C18)),--LEFT(TRIM(C18),LEN(TRIM(C18))-1),-1))),-1),IFERROR(IF((C19="")+(C19="/"),0,IF(ISNUMBER(C19),C19,IF((RIGHT(LOWER(TRIM(C19)),1)="g")*ISERROR(SEARCH("%",C19))*ISERROR(SEARCH("/",C19)),--LEFT(TRIM(C19),LEN(TRIM(C19))-1),-1))),-1),IFERROR(IF((C20="")+(C20="/"),0,IF(ISNUMBER(C20),C20,IF((RIGHT(LOWER(TRIM(C20)),1)="g")*ISERROR(SEARCH("%",C20))*ISERROR(SEARCH("/",C20)),--LEFT(TRIM(C20),LEN(TRIM(C20))-1),-1))),-1),IFERROR(IF((C21="")+(C21="/"),0,IF(ISNUMBER(C21),C21,IF((RIGHT(LOWER(TRIM(C21)),1)="g")*ISERROR(SEARCH("%",C21))*ISERROR(SEARCH("/",C21)),--LEFT(TRIM(C21),LEN(TRIM(C21))-1),-1))),-1),IFERROR(IF((C22="")+(C22="/"),0,IF(ISNUMBER(C22),C22,IF((RIGHT(LOWER(TRIM(C22)),1)="g")*ISERROR(SEARCH("%",C22))*ISERROR(SEARCH("/",C22)),--LEFT(TRIM(C22),LEN(TRIM(C22))-1),-1))),-1),IFERROR(IF((C23="")+(C23="/"),0,IF(ISNUMBER(C23),C23,IF((RIGHT(LOWER(TRIM(C23)),1)="g")*ISERROR(SEARCH("%",C23))*ISERROR(SEARCH("/",C23)),--LEFT(TRIM(C23),LEN(TRIM(C23))-1),-1))),-1))))</f>
        <v>1000</v>
      </c>
      <c r="D24" s="8">
        <f t="shared" si="0"/>
        <v>1000</v>
      </c>
      <c r="E24" s="8">
        <f t="shared" si="0"/>
        <v>1000</v>
      </c>
      <c r="F24" s="8">
        <f t="shared" si="0"/>
        <v>1000</v>
      </c>
      <c r="G24" s="8">
        <f t="shared" si="0"/>
        <v>1000</v>
      </c>
      <c r="H24" s="8">
        <f t="shared" si="0"/>
        <v>1000</v>
      </c>
    </row>
    <row r="25" ht="23" customHeight="1" outlineLevel="1" spans="1:8">
      <c r="A25" s="7"/>
      <c r="B25" s="3" t="s">
        <v>47</v>
      </c>
      <c r="C25" s="9">
        <v>532.53</v>
      </c>
      <c r="D25" s="9">
        <v>534.6</v>
      </c>
      <c r="E25" s="9">
        <v>538.21</v>
      </c>
      <c r="F25" s="9">
        <v>536.67</v>
      </c>
      <c r="G25" s="9">
        <v>530.47</v>
      </c>
      <c r="H25" s="9">
        <v>528.41</v>
      </c>
    </row>
    <row r="26" ht="25" customHeight="1" outlineLevel="1" spans="1:8">
      <c r="A26" s="7"/>
      <c r="B26" s="3" t="s">
        <v>48</v>
      </c>
      <c r="C26" s="10" t="s">
        <v>49</v>
      </c>
      <c r="D26" s="10" t="s">
        <v>49</v>
      </c>
      <c r="E26" s="10" t="s">
        <v>49</v>
      </c>
      <c r="F26" s="10" t="s">
        <v>49</v>
      </c>
      <c r="G26" s="10" t="s">
        <v>49</v>
      </c>
      <c r="H26" s="10" t="s">
        <v>49</v>
      </c>
    </row>
    <row r="27" ht="25" customHeight="1" outlineLevel="1" spans="1:8">
      <c r="A27" s="7"/>
      <c r="B27" s="3" t="s">
        <v>50</v>
      </c>
      <c r="C27" s="10" t="s">
        <v>49</v>
      </c>
      <c r="D27" s="10" t="s">
        <v>49</v>
      </c>
      <c r="E27" s="10" t="s">
        <v>49</v>
      </c>
      <c r="F27" s="10" t="s">
        <v>49</v>
      </c>
      <c r="G27" s="10" t="s">
        <v>49</v>
      </c>
      <c r="H27" s="10" t="s">
        <v>49</v>
      </c>
    </row>
    <row r="28" ht="25" customHeight="1" outlineLevel="1" spans="1:8">
      <c r="A28" s="7"/>
      <c r="B28" s="3" t="s">
        <v>51</v>
      </c>
      <c r="C28" s="3">
        <v>46.9</v>
      </c>
      <c r="D28" s="3">
        <v>46.9</v>
      </c>
      <c r="E28" s="3">
        <v>46.9</v>
      </c>
      <c r="F28" s="3">
        <v>46.9</v>
      </c>
      <c r="G28" s="3">
        <v>46.9</v>
      </c>
      <c r="H28" s="3">
        <v>46.9</v>
      </c>
    </row>
    <row r="29" ht="25" customHeight="1" outlineLevel="1" spans="1:8">
      <c r="A29" s="7"/>
      <c r="B29" s="3" t="s">
        <v>52</v>
      </c>
      <c r="C29" s="10">
        <v>0.982</v>
      </c>
      <c r="D29" s="10">
        <v>0.984</v>
      </c>
      <c r="E29" s="10">
        <v>0.993</v>
      </c>
      <c r="F29" s="10">
        <v>0.992</v>
      </c>
      <c r="G29" s="10">
        <v>0.995</v>
      </c>
      <c r="H29" s="10">
        <v>0.994</v>
      </c>
    </row>
    <row r="30" ht="25" customHeight="1" outlineLevel="1" spans="1:8">
      <c r="A30" s="7"/>
      <c r="B30" s="3" t="s">
        <v>53</v>
      </c>
      <c r="C30" s="3">
        <v>1000</v>
      </c>
      <c r="D30" s="3">
        <v>1000</v>
      </c>
      <c r="E30" s="3">
        <v>1000</v>
      </c>
      <c r="F30" s="3">
        <v>1000</v>
      </c>
      <c r="G30" s="3">
        <v>1000</v>
      </c>
      <c r="H30" s="3">
        <v>1000</v>
      </c>
    </row>
    <row r="31" ht="25" customHeight="1" outlineLevel="1" spans="1:8">
      <c r="A31" s="7"/>
      <c r="B31" s="3" t="s">
        <v>54</v>
      </c>
      <c r="C31" s="3">
        <v>988</v>
      </c>
      <c r="D31" s="3">
        <v>990</v>
      </c>
      <c r="E31" s="3">
        <v>993</v>
      </c>
      <c r="F31" s="3">
        <v>992</v>
      </c>
      <c r="G31" s="3">
        <v>986</v>
      </c>
      <c r="H31" s="3">
        <v>984</v>
      </c>
    </row>
    <row r="32" ht="25" customHeight="1" outlineLevel="1" spans="1:8">
      <c r="A32" s="7"/>
      <c r="B32" s="3" t="s">
        <v>55</v>
      </c>
      <c r="C32" s="10">
        <v>0.988</v>
      </c>
      <c r="D32" s="10">
        <v>0.99</v>
      </c>
      <c r="E32" s="10">
        <v>0.993</v>
      </c>
      <c r="F32" s="10">
        <v>0.992</v>
      </c>
      <c r="G32" s="10">
        <v>0.986</v>
      </c>
      <c r="H32" s="10">
        <v>0.984</v>
      </c>
    </row>
    <row r="33" ht="25" customHeight="1" outlineLevel="1" spans="1:8">
      <c r="A33" s="7"/>
      <c r="B33" s="3" t="s">
        <v>56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</row>
    <row r="34" ht="25" customHeight="1" outlineLevel="1" spans="1:8">
      <c r="A34" s="7"/>
      <c r="B34" s="3" t="s">
        <v>57</v>
      </c>
      <c r="C34" s="10">
        <v>0.0025</v>
      </c>
      <c r="D34" s="10">
        <v>0.0025</v>
      </c>
      <c r="E34" s="10">
        <v>0.0025</v>
      </c>
      <c r="F34" s="10">
        <v>0.0025</v>
      </c>
      <c r="G34" s="10">
        <v>0.0025</v>
      </c>
      <c r="H34" s="10">
        <v>0.0025</v>
      </c>
    </row>
    <row r="35" ht="23" customHeight="1" outlineLevel="1" spans="1:8">
      <c r="A35" s="7"/>
      <c r="B35" s="3"/>
      <c r="C35" s="3"/>
      <c r="D35" s="3"/>
      <c r="E35" s="3"/>
      <c r="F35" s="3"/>
      <c r="G35" s="3"/>
      <c r="H35" s="3"/>
    </row>
    <row r="36" ht="53" customHeight="1" spans="1:8">
      <c r="A36" s="7" t="s">
        <v>58</v>
      </c>
      <c r="B36" s="3" t="s">
        <v>59</v>
      </c>
      <c r="C36" s="3" t="s">
        <v>60</v>
      </c>
      <c r="D36" s="3" t="s">
        <v>60</v>
      </c>
      <c r="E36" s="3" t="s">
        <v>60</v>
      </c>
      <c r="F36" s="3" t="s">
        <v>60</v>
      </c>
      <c r="G36" s="3" t="s">
        <v>60</v>
      </c>
      <c r="H36" s="3" t="s">
        <v>60</v>
      </c>
    </row>
    <row r="37" ht="42" customHeight="1" outlineLevel="1" spans="1:8">
      <c r="A37" s="7"/>
      <c r="B37" s="3" t="s">
        <v>61</v>
      </c>
      <c r="C37" s="3" t="s">
        <v>62</v>
      </c>
      <c r="D37" s="3" t="s">
        <v>62</v>
      </c>
      <c r="E37" s="3" t="s">
        <v>63</v>
      </c>
      <c r="F37" s="3" t="s">
        <v>63</v>
      </c>
      <c r="G37" s="3" t="s">
        <v>64</v>
      </c>
      <c r="H37" s="3" t="s">
        <v>64</v>
      </c>
    </row>
    <row r="38" ht="29" customHeight="1" outlineLevel="1" spans="1:8">
      <c r="A38" s="7"/>
      <c r="B38" s="3" t="str">
        <v>真空温度（℃）</v>
      </c>
      <c r="C38" s="3" t="s">
        <v>49</v>
      </c>
      <c r="D38" s="3" t="s">
        <v>49</v>
      </c>
      <c r="E38" s="3" t="s">
        <v>49</v>
      </c>
      <c r="F38" s="3" t="s">
        <v>49</v>
      </c>
      <c r="G38" s="3" t="s">
        <v>49</v>
      </c>
      <c r="H38" s="3" t="s">
        <v>49</v>
      </c>
    </row>
    <row r="39" ht="42" customHeight="1" outlineLevel="1" spans="1:8">
      <c r="A39" s="7"/>
      <c r="B39" s="3" t="s">
        <v>66</v>
      </c>
      <c r="C39" s="3" t="s">
        <v>49</v>
      </c>
      <c r="D39" s="3" t="s">
        <v>49</v>
      </c>
      <c r="E39" s="3" t="s">
        <v>49</v>
      </c>
      <c r="F39" s="3" t="s">
        <v>49</v>
      </c>
      <c r="G39" s="3" t="s">
        <v>49</v>
      </c>
      <c r="H39" s="3" t="s">
        <v>49</v>
      </c>
    </row>
    <row r="40" ht="29" customHeight="1" outlineLevel="1" spans="1:8">
      <c r="A40" s="7"/>
      <c r="B40" s="3" t="s">
        <v>67</v>
      </c>
      <c r="C40" s="3" t="s">
        <v>68</v>
      </c>
      <c r="D40" s="3" t="s">
        <v>68</v>
      </c>
      <c r="E40" s="3" t="s">
        <v>68</v>
      </c>
      <c r="F40" s="3" t="s">
        <v>68</v>
      </c>
      <c r="G40" s="3" t="s">
        <v>68</v>
      </c>
      <c r="H40" s="3" t="s">
        <v>68</v>
      </c>
    </row>
    <row r="41" ht="23" customHeight="1" outlineLevel="1" spans="1:8">
      <c r="A41" s="7"/>
      <c r="B41" s="3"/>
      <c r="C41" s="3"/>
      <c r="D41" s="3"/>
      <c r="E41" s="3"/>
      <c r="F41" s="3"/>
      <c r="G41" s="3"/>
      <c r="H41" s="3"/>
    </row>
    <row r="42" ht="23" customHeight="1" outlineLevel="1" spans="1:8">
      <c r="A42" s="7"/>
      <c r="B42" s="3"/>
      <c r="C42" s="3"/>
      <c r="D42" s="3"/>
      <c r="E42" s="3"/>
      <c r="F42" s="3"/>
      <c r="G42" s="3"/>
      <c r="H42" s="3"/>
    </row>
    <row r="43" ht="38" customHeight="1" spans="1:8">
      <c r="A43" s="7" t="s">
        <v>69</v>
      </c>
      <c r="B43" s="3" t="s">
        <v>70</v>
      </c>
      <c r="C43" s="3" t="s">
        <v>71</v>
      </c>
      <c r="D43" s="3" t="s">
        <v>71</v>
      </c>
      <c r="E43" s="3" t="s">
        <v>72</v>
      </c>
      <c r="F43" s="3" t="s">
        <v>72</v>
      </c>
      <c r="G43" s="3" t="s">
        <v>73</v>
      </c>
      <c r="H43" s="3" t="s">
        <v>73</v>
      </c>
    </row>
    <row r="44" ht="25" customHeight="1" outlineLevel="1" spans="1:8">
      <c r="A44" s="7"/>
      <c r="B44" s="3" t="s">
        <v>74</v>
      </c>
      <c r="C44" s="3" t="s">
        <v>75</v>
      </c>
      <c r="D44" s="3" t="s">
        <v>75</v>
      </c>
      <c r="E44" s="3" t="s">
        <v>75</v>
      </c>
      <c r="F44" s="3" t="s">
        <v>75</v>
      </c>
      <c r="G44" s="3" t="s">
        <v>75</v>
      </c>
      <c r="H44" s="3" t="s">
        <v>75</v>
      </c>
    </row>
    <row r="45" ht="38" customHeight="1" outlineLevel="1" spans="1:8">
      <c r="A45" s="7"/>
      <c r="B45" s="3" t="s">
        <v>76</v>
      </c>
      <c r="C45" s="3" t="s">
        <v>77</v>
      </c>
      <c r="D45" s="3" t="s">
        <v>77</v>
      </c>
      <c r="E45" s="3" t="s">
        <v>77</v>
      </c>
      <c r="F45" s="3" t="s">
        <v>77</v>
      </c>
      <c r="G45" s="3" t="s">
        <v>77</v>
      </c>
      <c r="H45" s="3" t="s">
        <v>77</v>
      </c>
    </row>
    <row r="46" ht="53" customHeight="1" spans="1:8">
      <c r="A46" s="7" t="s">
        <v>78</v>
      </c>
      <c r="B46" s="3" t="s">
        <v>79</v>
      </c>
      <c r="C46" s="3" t="s">
        <v>80</v>
      </c>
      <c r="D46" s="3" t="s">
        <v>81</v>
      </c>
      <c r="E46" s="3" t="s">
        <v>82</v>
      </c>
      <c r="F46" s="3" t="s">
        <v>83</v>
      </c>
      <c r="G46" s="3" t="s">
        <v>84</v>
      </c>
      <c r="H46" s="3" t="s">
        <v>85</v>
      </c>
    </row>
    <row r="47" ht="25" customHeight="1" outlineLevel="1" spans="1:8">
      <c r="A47" s="7"/>
      <c r="B47" s="3" t="s">
        <v>86</v>
      </c>
      <c r="C47" s="10">
        <v>0.539</v>
      </c>
      <c r="D47" s="10">
        <v>0.54</v>
      </c>
      <c r="E47" s="10">
        <v>0.542</v>
      </c>
      <c r="F47" s="10">
        <v>0.541</v>
      </c>
      <c r="G47" s="10">
        <v>0.538</v>
      </c>
      <c r="H47" s="10">
        <v>0.537</v>
      </c>
    </row>
    <row r="48" ht="25" customHeight="1" outlineLevel="1" spans="1:8">
      <c r="A48" s="7"/>
      <c r="B48" s="3" t="s">
        <v>87</v>
      </c>
      <c r="C48" s="3" t="s">
        <v>49</v>
      </c>
      <c r="D48" s="3" t="s">
        <v>49</v>
      </c>
      <c r="E48" s="3" t="s">
        <v>49</v>
      </c>
      <c r="F48" s="3" t="s">
        <v>49</v>
      </c>
      <c r="G48" s="3" t="s">
        <v>49</v>
      </c>
      <c r="H48" s="3" t="s">
        <v>49</v>
      </c>
    </row>
    <row r="49" ht="25" customHeight="1" outlineLevel="1" spans="1:8">
      <c r="A49" s="7"/>
      <c r="B49" s="3" t="s">
        <v>88</v>
      </c>
      <c r="C49" s="11">
        <v>0.461</v>
      </c>
      <c r="D49" s="11">
        <v>0.46</v>
      </c>
      <c r="E49" s="11">
        <v>0.458</v>
      </c>
      <c r="F49" s="11">
        <v>0.459</v>
      </c>
      <c r="G49" s="11">
        <v>0.462</v>
      </c>
      <c r="H49" s="11">
        <v>0.463</v>
      </c>
    </row>
    <row r="50" ht="23" customHeight="1" outlineLevel="1" spans="1:8">
      <c r="A50" s="7"/>
      <c r="B50" s="3"/>
      <c r="C50" s="3"/>
      <c r="D50" s="3"/>
      <c r="E50" s="3"/>
      <c r="F50" s="3"/>
      <c r="G50" s="3"/>
      <c r="H50" s="3"/>
    </row>
    <row r="51" ht="29" customHeight="1" spans="1:8">
      <c r="A51" s="3" t="s">
        <v>89</v>
      </c>
      <c r="B51" s="3"/>
      <c r="C51" s="3" t="s">
        <v>27</v>
      </c>
      <c r="D51" s="3" t="s">
        <v>27</v>
      </c>
      <c r="E51" s="3" t="s">
        <v>90</v>
      </c>
      <c r="F51" s="3" t="s">
        <v>27</v>
      </c>
      <c r="G51" s="3" t="s">
        <v>27</v>
      </c>
      <c r="H51" s="3" t="s">
        <v>27</v>
      </c>
    </row>
    <row r="52" ht="72" customHeight="1" spans="1:8">
      <c r="A52" s="3" t="s">
        <v>91</v>
      </c>
      <c r="B52" s="3" t="s">
        <v>92</v>
      </c>
      <c r="C52" s="3"/>
      <c r="D52" s="3"/>
      <c r="E52" s="3"/>
      <c r="F52" s="3"/>
      <c r="G52" s="3"/>
      <c r="H52" s="3"/>
    </row>
    <row r="53" ht="29" customHeight="1" spans="1:8">
      <c r="A53" s="7" t="s">
        <v>93</v>
      </c>
      <c r="B53" s="3" t="s">
        <v>94</v>
      </c>
      <c r="C53" s="3"/>
      <c r="D53" s="3"/>
      <c r="E53" s="3"/>
      <c r="F53" s="3"/>
      <c r="G53" s="3"/>
      <c r="H53" s="3"/>
    </row>
    <row r="54" ht="29" customHeight="1" spans="1:8">
      <c r="A54" s="7"/>
      <c r="B54" s="3"/>
      <c r="C54" s="3"/>
      <c r="D54" s="3"/>
      <c r="E54" s="3"/>
      <c r="F54" s="3"/>
      <c r="G54" s="3"/>
      <c r="H54" s="3"/>
    </row>
  </sheetData>
  <mergeCells count="16">
    <mergeCell ref="B1:H1"/>
    <mergeCell ref="B3:H3"/>
    <mergeCell ref="B4:H4"/>
    <mergeCell ref="B5:H5"/>
    <mergeCell ref="B6:H6"/>
    <mergeCell ref="B7:H7"/>
    <mergeCell ref="B52:H52"/>
    <mergeCell ref="A10:A23"/>
    <mergeCell ref="A24:A35"/>
    <mergeCell ref="A36:A42"/>
    <mergeCell ref="A43:A45"/>
    <mergeCell ref="A46:A50"/>
    <mergeCell ref="A53:A54"/>
    <mergeCell ref="B53:H54"/>
    <mergeCell ref="A8:B8"/>
    <mergeCell ref="A9:B9"/>
  </mergeCells>
  <dataValidations count="1">
    <dataValidation type="custom" allowBlank="1" showErrorMessage="1" errorTitle="物料用量格式不正确" error="可填非负数字、带g的用量（如90g）或/。" sqref="C10:H23">
      <formula1>IFERROR(IF((C10="")+(C10="/"),0,IF(ISNUMBER(C10),C10,IF((RIGHT(LOWER(TRIM(C10)),1)="g")*ISERROR(SEARCH("%",C10))*ISERROR(SEARCH("/",C10)),--LEFT(TRIM(C10),LEN(TRIM(C10))-1),-1))),-1)&gt;=0</formula1>
    </dataValidation>
  </dataValidations>
  <printOptions horizontalCentered="1"/>
  <pageMargins left="0.25" right="0.25" top="0.35" bottom="0.35" header="0.15" footer="0.15"/>
  <pageSetup paperSize="9" fitToHeight="0" orientation="landscape"/>
  <headerFooter>
    <oddFooter>&amp;L模拟数据 / 仅供演示 / 合成实验记录&amp;C第 &amp;P 页 / 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合成实验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　　</cp:lastModifiedBy>
  <dcterms:created xsi:type="dcterms:W3CDTF">2026-10-24T09:29:42Z</dcterms:created>
  <dcterms:modified xsi:type="dcterms:W3CDTF">2026-10-24T09:30:02Z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A8435F1D9DA5405BB2CF2D8940BAE401_12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