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IdeaProjects\jsd-aird\outputs\01a16be3-bd38-7e63-be4b-4c967813e43e\"/>
    </mc:Choice>
  </mc:AlternateContent>
  <bookViews>
    <workbookView windowWidth="24750" windowHeight="12790"/>
  </bookViews>
  <sheets>
    <sheet name="测试实验" sheetId="1" r:id="rId1"/>
  </sheets>
  <definedNames>
    <definedName name="_xlnm.Print_Area" localSheetId="0">测试实验!$A$1:$H$138</definedName>
    <definedName name="_xlnm.Print_Titles" localSheetId="0">测试实验!$1:$7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<sst xmlns="http://schemas.openxmlformats.org/spreadsheetml/2006/main" count="644" uniqueCount="293">
  <si>
    <t>实验题目</t>
  </si>
  <si>
    <t>UV、热固化、EB涂层全项目</t>
  </si>
  <si>
    <t>实验人</t>
  </si>
  <si>
    <t>实验员</t>
  </si>
  <si>
    <t>日期</t>
  </si>
  <si>
    <t>2026-10-24T00:00:00.000Z</t>
  </si>
  <si>
    <t>环境温度（℃）</t>
  </si>
  <si>
    <t>相对湿度（%）</t>
  </si>
  <si>
    <t>关联项目</t>
  </si>
  <si>
    <t>不同固化体系的完整记录展示</t>
  </si>
  <si>
    <t>项目编号</t>
  </si>
  <si>
    <t>SIM-PRJ-202610-001</t>
  </si>
  <si>
    <t>实验背景</t>
  </si>
  <si>
    <t>UV、热固化、EB三种体系，各展示无蜡/加蜡两组。用于查看完整字段、单位和文字结果的填写效果。</t>
  </si>
  <si>
    <t>实验目的</t>
  </si>
  <si>
    <t>全部已有测试项目均填写结果；不同体系的结果仅作填写示例，不据此作跨体系性能归因。</t>
  </si>
  <si>
    <t>实验条件</t>
  </si>
  <si>
    <t>样品/方案编号</t>
  </si>
  <si>
    <t>SIM-T-001</t>
  </si>
  <si>
    <t>SIM-T-002</t>
  </si>
  <si>
    <t>SIM-T-003</t>
  </si>
  <si>
    <t>SIM-T-004</t>
  </si>
  <si>
    <t>SIM-T-005</t>
  </si>
  <si>
    <t>SIM-T-006</t>
  </si>
  <si>
    <t>实验素材
基材 / 厚度（mm/μm）</t>
  </si>
  <si>
    <t>按项目分别制样：PET 100 μm、玻璃及各附着力底材；力学用自由膜</t>
  </si>
  <si>
    <t>施工工艺 / 规格</t>
  </si>
  <si>
    <t>线棒涂布
湿膜约30 μm</t>
  </si>
  <si>
    <t>固化方式</t>
  </si>
  <si>
    <t>UV光固化</t>
  </si>
  <si>
    <t>热固化</t>
  </si>
  <si>
    <t>EB电子束固化</t>
  </si>
  <si>
    <t>固化设备 / 光源</t>
  </si>
  <si>
    <t>汞灯（UVA）</t>
  </si>
  <si>
    <t>鼓风烘箱</t>
  </si>
  <si>
    <t>电子束设备</t>
  </si>
  <si>
    <t>固化温度（℃）</t>
  </si>
  <si>
    <t>35℃（表面）</t>
  </si>
  <si>
    <t>60℃（炉温）</t>
  </si>
  <si>
    <t>30℃（表面）</t>
  </si>
  <si>
    <t>固化时间（s/min/h）</t>
  </si>
  <si>
    <t>5 s</t>
  </si>
  <si>
    <t>2 h</t>
  </si>
  <si>
    <t>0.5 s（过束）</t>
  </si>
  <si>
    <t>光源波长 / 波段（nm）</t>
  </si>
  <si>
    <t>UVA 320—390 nm</t>
  </si>
  <si>
    <t>/</t>
  </si>
  <si>
    <t>光强（mW/cm²）</t>
  </si>
  <si>
    <t>光能量（mJ/cm²）</t>
  </si>
  <si>
    <t>电子束能量（keV/MeV）</t>
  </si>
  <si>
    <t>150 keV</t>
  </si>
  <si>
    <t>电子束剂量（kGy）</t>
  </si>
  <si>
    <t>样品基础物性</t>
  </si>
  <si>
    <t>原料 / 树脂样品编号</t>
  </si>
  <si>
    <t>SIM-WPUA-001</t>
  </si>
  <si>
    <t>SIM-SYN-003</t>
  </si>
  <si>
    <t>组成说明</t>
  </si>
  <si>
    <t>水性PUA基料
UV体系</t>
  </si>
  <si>
    <t>羟基丙烯酸乳液
热固化体系</t>
  </si>
  <si>
    <t>水性PUA基料
EB体系</t>
  </si>
  <si>
    <t>外观</t>
  </si>
  <si>
    <t>微黄均匀液体</t>
  </si>
  <si>
    <t>乳白均匀乳液</t>
  </si>
  <si>
    <t>固含（%）</t>
  </si>
  <si>
    <t>烘烤表干性</t>
  </si>
  <si>
    <t>UV后表干，不黏手</t>
  </si>
  <si>
    <t>60℃ / 2 h
表干，不黏手</t>
  </si>
  <si>
    <t>EB后表干，不黏手</t>
  </si>
  <si>
    <t>黏度
cP（mPa·s）/ KU / s</t>
  </si>
  <si>
    <t>480 cP
旋转法，25℃
2#，60 rpm</t>
  </si>
  <si>
    <t>260 cP
旋转法，25℃
2#，60 rpm</t>
  </si>
  <si>
    <t>含水率（%）</t>
  </si>
  <si>
    <t>液相色谱：相对分子质量</t>
  </si>
  <si>
    <t>Mn=4200
Mw=7800
Mz=11500
PDI=1.86</t>
  </si>
  <si>
    <t>Mn=18000
Mw=42000
Mz=70000
PDI=2.33</t>
  </si>
  <si>
    <t>红外光谱：重合度</t>
  </si>
  <si>
    <t>与基准谱比对
相似度96.2%</t>
  </si>
  <si>
    <t>与基准谱比对
相似度95.8%</t>
  </si>
  <si>
    <t>气相色谱：纯度（%）</t>
  </si>
  <si>
    <t>原料单体：99.2%</t>
  </si>
  <si>
    <t>原料单体：99.4%</t>
  </si>
  <si>
    <t>紫外光谱：吸收峰
波长（nm）</t>
  </si>
  <si>
    <t>280 nm
稀释液</t>
  </si>
  <si>
    <t>205 nm
稀释液</t>
  </si>
  <si>
    <t>折光率</t>
  </si>
  <si>
    <t>nD20=1.358
透明相</t>
  </si>
  <si>
    <t>nD20=1.346
透明相</t>
  </si>
  <si>
    <t>密度（原称比重，g/mL）</t>
  </si>
  <si>
    <t>细度（μm）</t>
  </si>
  <si>
    <t>&lt;10 μm
无明显颗粒</t>
  </si>
  <si>
    <t>粒径（nm/μm）
D10 / D50 / D90 / 平均</t>
  </si>
  <si>
    <t>D10:25 nm
D50:55 nm
D90:105 nm
平均:62 nm</t>
  </si>
  <si>
    <t>D10:42 nm
D50:96 nm
D90:180 nm
平均:105 nm</t>
  </si>
  <si>
    <t>pH</t>
  </si>
  <si>
    <t>表面张力（mN/m）</t>
  </si>
  <si>
    <t>酸值（mg KOH/g）</t>
  </si>
  <si>
    <t>AV=4.2</t>
  </si>
  <si>
    <t>AV=22.5
按干树脂</t>
  </si>
  <si>
    <t>羟值（mg KOH/g）</t>
  </si>
  <si>
    <t>OH=25.0</t>
  </si>
  <si>
    <t>OH=46.6
按干树脂</t>
  </si>
  <si>
    <t>NCO含量（%）</t>
  </si>
  <si>
    <t>&lt;0.02%</t>
  </si>
  <si>
    <t>电导率（μS/cm）</t>
  </si>
  <si>
    <t>闪点（℃）</t>
  </si>
  <si>
    <t>&gt;100℃
闭口法</t>
  </si>
  <si>
    <t>低温结晶性</t>
  </si>
  <si>
    <t>4℃，3天
未结晶</t>
  </si>
  <si>
    <t>高温稳定性</t>
  </si>
  <si>
    <t>50℃，3天
未见分层</t>
  </si>
  <si>
    <t>室温分层性</t>
  </si>
  <si>
    <t>25℃，3天
未见分层</t>
  </si>
  <si>
    <t>相溶性</t>
  </si>
  <si>
    <t>与交联剂混合后乳白均匀，无析出</t>
  </si>
  <si>
    <t>溶解性</t>
  </si>
  <si>
    <t>可用去离子水稀释</t>
  </si>
  <si>
    <t>氟含量（%）</t>
  </si>
  <si>
    <t>&lt;0.01%</t>
  </si>
  <si>
    <t>胺当量（g/eq）</t>
  </si>
  <si>
    <t>配套原料
SIM-AMN-001
110 g/eq</t>
  </si>
  <si>
    <t>实验方案</t>
  </si>
  <si>
    <t>具体方案</t>
  </si>
  <si>
    <t>UV / 蜡0 g</t>
  </si>
  <si>
    <t>UV / 蜡0.5 g</t>
  </si>
  <si>
    <t>热固化 / 蜡0 g</t>
  </si>
  <si>
    <t>热固化 / 蜡0.5 g</t>
  </si>
  <si>
    <t>EB / 蜡0 g</t>
  </si>
  <si>
    <t>EB / 蜡0.5 g</t>
  </si>
  <si>
    <t>实验设计变量</t>
  </si>
  <si>
    <t>各配方100 g；用水补足。各体系内比较助剂加量。</t>
  </si>
  <si>
    <t>实验配方
用量：g</t>
  </si>
  <si>
    <t>实验编号</t>
  </si>
  <si>
    <t>65g</t>
  </si>
  <si>
    <t>75g</t>
  </si>
  <si>
    <t>75 g</t>
  </si>
  <si>
    <t>SIM-XLC-001</t>
  </si>
  <si>
    <t>SIM-PI-001</t>
  </si>
  <si>
    <t>2g</t>
  </si>
  <si>
    <t>SIM-DIW-001</t>
  </si>
  <si>
    <t>22g</t>
  </si>
  <si>
    <t>SIM-WAX-001</t>
  </si>
  <si>
    <t>SIM-LVL-001</t>
  </si>
  <si>
    <t>SIM-DFM-001</t>
  </si>
  <si>
    <t>用量合计（g）</t>
  </si>
  <si>
    <t>涂料物性</t>
  </si>
  <si>
    <t>涂料外观</t>
  </si>
  <si>
    <t>均匀液体
无明显浮泡</t>
  </si>
  <si>
    <t>乳白均匀
无明显浮泡</t>
  </si>
  <si>
    <t>涂料固含（%）</t>
  </si>
  <si>
    <t>涂料黏度
cP（mPa·s）/ KU / s</t>
  </si>
  <si>
    <t>18.2 s/F4
涂4杯，25℃</t>
  </si>
  <si>
    <t>18.6 s/F4
涂4杯，25℃</t>
  </si>
  <si>
    <t>18.1 s/F4
涂4杯，25℃</t>
  </si>
  <si>
    <t>18.5 s/F4
涂4杯，25℃</t>
  </si>
  <si>
    <t>17.8 s/F4
涂4杯，25℃</t>
  </si>
  <si>
    <t>涂层性能</t>
  </si>
  <si>
    <t>固化性</t>
  </si>
  <si>
    <t>表干，不黏手</t>
  </si>
  <si>
    <t>板面外观</t>
  </si>
  <si>
    <t>流平好
无缩孔
无可见颗粒</t>
  </si>
  <si>
    <t>轻微发哑
无缩孔
无可见颗粒</t>
  </si>
  <si>
    <t>轻微发哑
个别缩孔
无可见颗粒</t>
  </si>
  <si>
    <t>膜厚（μm）</t>
  </si>
  <si>
    <t>14—15 μm</t>
  </si>
  <si>
    <t>12—13 μm</t>
  </si>
  <si>
    <t>12—14 μm</t>
  </si>
  <si>
    <t>13—14 μm</t>
  </si>
  <si>
    <t>20°角光泽（GU）</t>
  </si>
  <si>
    <t>60°角光泽（GU）</t>
  </si>
  <si>
    <t>85°角光泽（GU）</t>
  </si>
  <si>
    <t>雾度（%）</t>
  </si>
  <si>
    <t>透光率（%）</t>
  </si>
  <si>
    <t>硬度：1kg</t>
  </si>
  <si>
    <t>H</t>
  </si>
  <si>
    <t>HB</t>
  </si>
  <si>
    <t>2H</t>
  </si>
  <si>
    <t>硬度：700g</t>
  </si>
  <si>
    <t>硬度：500g</t>
  </si>
  <si>
    <t>3H</t>
  </si>
  <si>
    <t>附着力：ABS/PC</t>
  </si>
  <si>
    <t>4B</t>
  </si>
  <si>
    <t>5B</t>
  </si>
  <si>
    <t>附着力：ABS</t>
  </si>
  <si>
    <t>附着力：PC</t>
  </si>
  <si>
    <t>附着力：PET</t>
  </si>
  <si>
    <t>附着力：PMMA</t>
  </si>
  <si>
    <t>附着力：玻璃</t>
  </si>
  <si>
    <t>附着力：马口铁</t>
  </si>
  <si>
    <t>附着力：铝片</t>
  </si>
  <si>
    <t>附着力：不锈钢</t>
  </si>
  <si>
    <t>附着力：PP</t>
  </si>
  <si>
    <t>0</t>
  </si>
  <si>
    <t>B</t>
  </si>
  <si>
    <t>2B</t>
  </si>
  <si>
    <t>附着力：尼龙</t>
  </si>
  <si>
    <t>3B</t>
  </si>
  <si>
    <t>附着力：TPU</t>
  </si>
  <si>
    <t>附着力：PVC</t>
  </si>
  <si>
    <t>水煮后附着力：PC</t>
  </si>
  <si>
    <t>水煮后附着力：PET</t>
  </si>
  <si>
    <t>水煮后附着力：PMMA</t>
  </si>
  <si>
    <t>色差：ΔE</t>
  </si>
  <si>
    <t>色度：b*</t>
  </si>
  <si>
    <t>明度：L*</t>
  </si>
  <si>
    <t>钢丝绒耐磨（次）
300 g；1 cm×1 cm</t>
  </si>
  <si>
    <t>钢丝绒耐磨（次）
500 g；1 cm×1 cm</t>
  </si>
  <si>
    <t>钢丝绒耐磨（次）
1 kg；1 cm×1 cm</t>
  </si>
  <si>
    <t>80次</t>
  </si>
  <si>
    <t>85次</t>
  </si>
  <si>
    <t>120次</t>
  </si>
  <si>
    <t>125次</t>
  </si>
  <si>
    <t>180次</t>
  </si>
  <si>
    <t>175次</t>
  </si>
  <si>
    <t>钢丝绒耐磨（次）
300 g；2 cm×2 cm</t>
  </si>
  <si>
    <t>钢丝绒耐磨（次）
500 g；2 cm×2 cm</t>
  </si>
  <si>
    <t>钢丝绒耐磨（次）
1 kg；2 cm×2 cm</t>
  </si>
  <si>
    <t>RCA耐磨（次）</t>
  </si>
  <si>
    <t>Taber耐磨：雾度/变化
（% / 百分点）</t>
  </si>
  <si>
    <t>100次后雾度升高
8—9个百分点</t>
  </si>
  <si>
    <t>100次后雾度升高
7—8个百分点</t>
  </si>
  <si>
    <t>100次后雾度升高
10—11个百分点</t>
  </si>
  <si>
    <t>100次后雾度升高
9—10个百分点</t>
  </si>
  <si>
    <t>100次后雾度升高
6—7个百分点</t>
  </si>
  <si>
    <t>100次后雾度升高
5—6个百分点</t>
  </si>
  <si>
    <t>Taber耐磨后透光率（%）</t>
  </si>
  <si>
    <t>橡皮擦耐磨（次）
CS-10，500 g</t>
  </si>
  <si>
    <t>500次，浅痕</t>
  </si>
  <si>
    <t>500次，微痕</t>
  </si>
  <si>
    <t>500次，无明显痕</t>
  </si>
  <si>
    <t>水接触角（°）</t>
  </si>
  <si>
    <t>正十六烷接触角（°）</t>
  </si>
  <si>
    <t>二碘甲烷接触角（°）</t>
  </si>
  <si>
    <t>水煮后板面</t>
  </si>
  <si>
    <t>少量水斑
24 h后减轻</t>
  </si>
  <si>
    <t>无明显水斑
无发白</t>
  </si>
  <si>
    <t>轻微水斑
无发白</t>
  </si>
  <si>
    <t>水煮后：水接触角（°）</t>
  </si>
  <si>
    <t>水煮后：正十六烷接触角（°）</t>
  </si>
  <si>
    <t>水煮后：二碘甲烷接触角（°）</t>
  </si>
  <si>
    <t>蓝色记号笔</t>
  </si>
  <si>
    <t>不收缩
浅痕</t>
  </si>
  <si>
    <t>部分收缩
微痕</t>
  </si>
  <si>
    <t>线珠状
微痕</t>
  </si>
  <si>
    <t>黑色记号笔</t>
  </si>
  <si>
    <t>双杰笔</t>
  </si>
  <si>
    <t>荧光笔</t>
  </si>
  <si>
    <t>达因笔（笔号 / 收缩表现）</t>
  </si>
  <si>
    <t>38号不收缩
40号收缩</t>
  </si>
  <si>
    <t>32号不收缩
34号收缩</t>
  </si>
  <si>
    <t>28号不收缩
30号收缩</t>
  </si>
  <si>
    <t>弯曲韧性
轴径（mm）/ 裂纹等结果</t>
  </si>
  <si>
    <t>Φ20通过
Φ15：3条裂纹</t>
  </si>
  <si>
    <t>Φ20通过
Φ15：2条裂纹</t>
  </si>
  <si>
    <t>Φ20通过
Φ15：1条裂纹</t>
  </si>
  <si>
    <t>Φ15通过
Φ10：2条裂纹</t>
  </si>
  <si>
    <t>翘曲度（cm）</t>
  </si>
  <si>
    <t>反翘0.20 cm</t>
  </si>
  <si>
    <t>反翘0.21 cm</t>
  </si>
  <si>
    <t>反翘0.15 cm</t>
  </si>
  <si>
    <t>反翘0.16 cm</t>
  </si>
  <si>
    <t>反翘0.10 cm</t>
  </si>
  <si>
    <t>反翘0.11 cm</t>
  </si>
  <si>
    <t>耐酸雨</t>
  </si>
  <si>
    <t>不发白</t>
  </si>
  <si>
    <t>耐溶剂</t>
  </si>
  <si>
    <t>轻微发白</t>
  </si>
  <si>
    <t>耐芥末酱（现象 / ΔE）</t>
  </si>
  <si>
    <t>轻微发黄
ΔE=1.8</t>
  </si>
  <si>
    <t>轻微发黄
ΔE=1.9</t>
  </si>
  <si>
    <t>不明显发黄
ΔE=1.1</t>
  </si>
  <si>
    <t>不明显发黄
ΔE=1.2</t>
  </si>
  <si>
    <t>不明显发黄
ΔE=1.0</t>
  </si>
  <si>
    <t>耐防晒霜（现象 / ΔE）</t>
  </si>
  <si>
    <t>耐老化：ΔE</t>
  </si>
  <si>
    <t>QUV后：ΔE</t>
  </si>
  <si>
    <t>电阻（Ω）</t>
  </si>
  <si>
    <t>拉伸强度（MPa）</t>
  </si>
  <si>
    <t>伸长率（%）</t>
  </si>
  <si>
    <t>剥离力（N）</t>
  </si>
  <si>
    <t>涂层伸长率（%）</t>
  </si>
  <si>
    <t>修复时间（s）</t>
  </si>
  <si>
    <t>&gt;600 s，未恢复</t>
  </si>
  <si>
    <t>静摩擦系数</t>
  </si>
  <si>
    <t>动摩擦系数</t>
  </si>
  <si>
    <t>抗刮伤：指甲刮</t>
  </si>
  <si>
    <t>浅痕</t>
  </si>
  <si>
    <t>微痕</t>
  </si>
  <si>
    <t>抗刮伤：铜刷</t>
  </si>
  <si>
    <t>深痕</t>
  </si>
  <si>
    <t>实验结论</t>
  </si>
  <si>
    <t>全项目模拟填写示例：分别记录UV、热固化、EB三种体系及各自的0g/0.5g助剂对照。
各测试项均提供模拟结果；这些数值仅用于检查模板呈现，不作为真实实验结论。</t>
  </si>
  <si>
    <t>备注</t>
  </si>
  <si>
    <t>全部数据、物料及SIM-*编码均为模拟，仅供填写展示。热固化两组取SIM-SYN-003共130g（模拟出料993g）。
按项目分别制备透明试片、自由膜及各附着力底材。GC纯度测原料单体；折光率测制样透明相；胺当量测配套原料SIM-AMN-001。
条件：水煮85℃/2h；耐老化50℃/72h；QUV 48h；修复为80℃热处理下铜刷痕迹的目测恢复时间（s）。不适用固化条件填“/”。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</si>
</sst>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0.000%"/>
  </numFmts>
  <fonts count="24">
    <font>
      <sz val="11"/>
      <name val="Carlito"/>
      <charset val="134"/>
    </font>
    <font>
      <b/>
      <sz val="13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left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9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10" fontId="2" fillId="2" borderId="1" xfId="49" applyNumberFormat="1" applyFont="1" applyFill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11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138"/>
  <sheetViews>
    <sheetView showGridLines="0" tabSelected="1" zoomScale="85" zoomScaleNormal="85" workbookViewId="0">
      <pane ySplit="2" topLeftCell="A18" activePane="bottomLeft" state="frozen"/>
      <selection/>
      <selection pane="bottomLeft" activeCell="D26" sqref="D26"/>
    </sheetView>
  </sheetViews>
  <sheetFormatPr defaultColWidth="9" defaultRowHeight="14.5" outlineLevelCol="7"/>
  <cols>
    <col min="1" max="1" width="13" customWidth="1"/>
    <col min="2" max="2" width="31" customWidth="1"/>
    <col min="3" max="8" width="16" customWidth="1"/>
  </cols>
  <sheetData>
    <row r="1" ht="32" customHeight="1" spans="1:8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ht="28" customHeight="1" spans="1:8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5">
        <v>25</v>
      </c>
      <c r="G2" s="3" t="s">
        <v>7</v>
      </c>
      <c r="H2" s="6">
        <v>0.55</v>
      </c>
    </row>
    <row r="3" ht="26" customHeight="1" spans="1:8">
      <c r="A3" s="3" t="s">
        <v>8</v>
      </c>
      <c r="B3" s="2" t="s">
        <v>9</v>
      </c>
      <c r="C3" s="2"/>
      <c r="D3" s="2"/>
      <c r="E3" s="2"/>
      <c r="F3" s="2"/>
      <c r="G3" s="2"/>
      <c r="H3" s="2"/>
    </row>
    <row r="4" ht="23" customHeight="1" spans="1:8">
      <c r="A4" s="3" t="s">
        <v>10</v>
      </c>
      <c r="B4" s="2" t="s">
        <v>11</v>
      </c>
      <c r="C4" s="2"/>
      <c r="D4" s="2"/>
      <c r="E4" s="2"/>
      <c r="F4" s="2"/>
      <c r="G4" s="2"/>
      <c r="H4" s="2"/>
    </row>
    <row r="5" ht="42" customHeight="1" spans="1:8">
      <c r="A5" s="3" t="s">
        <v>12</v>
      </c>
      <c r="B5" s="2" t="s">
        <v>13</v>
      </c>
      <c r="C5" s="2"/>
      <c r="D5" s="2"/>
      <c r="E5" s="2"/>
      <c r="F5" s="2"/>
      <c r="G5" s="2"/>
      <c r="H5" s="2"/>
    </row>
    <row r="6" ht="34" customHeight="1" spans="1:8">
      <c r="A6" s="3" t="s">
        <v>14</v>
      </c>
      <c r="B6" s="2" t="s">
        <v>15</v>
      </c>
      <c r="C6" s="2"/>
      <c r="D6" s="2"/>
      <c r="E6" s="2"/>
      <c r="F6" s="2"/>
      <c r="G6" s="2"/>
      <c r="H6" s="2"/>
    </row>
    <row r="7" ht="28" customHeight="1" spans="1:8">
      <c r="A7" s="7" t="s">
        <v>16</v>
      </c>
      <c r="B7" s="3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</row>
    <row r="8" ht="68" customHeight="1" spans="1:8">
      <c r="A8" s="7"/>
      <c r="B8" s="3" t="s">
        <v>24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</row>
    <row r="9" ht="38" customHeight="1" spans="1:8">
      <c r="A9" s="7"/>
      <c r="B9" s="3" t="s">
        <v>26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</row>
    <row r="10" ht="29" customHeight="1" spans="1:8">
      <c r="A10" s="7"/>
      <c r="B10" s="3" t="s">
        <v>28</v>
      </c>
      <c r="C10" s="3" t="s">
        <v>29</v>
      </c>
      <c r="D10" s="3" t="s">
        <v>29</v>
      </c>
      <c r="E10" s="3" t="s">
        <v>30</v>
      </c>
      <c r="F10" s="3" t="s">
        <v>30</v>
      </c>
      <c r="G10" s="3" t="s">
        <v>31</v>
      </c>
      <c r="H10" s="3" t="s">
        <v>31</v>
      </c>
    </row>
    <row r="11" ht="29" customHeight="1" spans="1:8">
      <c r="A11" s="7"/>
      <c r="B11" s="3" t="s">
        <v>32</v>
      </c>
      <c r="C11" s="3" t="s">
        <v>33</v>
      </c>
      <c r="D11" s="3" t="s">
        <v>33</v>
      </c>
      <c r="E11" s="3" t="s">
        <v>34</v>
      </c>
      <c r="F11" s="3" t="s">
        <v>34</v>
      </c>
      <c r="G11" s="3" t="s">
        <v>35</v>
      </c>
      <c r="H11" s="3" t="s">
        <v>35</v>
      </c>
    </row>
    <row r="12" ht="29" customHeight="1" spans="1:8">
      <c r="A12" s="7"/>
      <c r="B12" s="3" t="s">
        <v>36</v>
      </c>
      <c r="C12" s="3" t="s">
        <v>37</v>
      </c>
      <c r="D12" s="3" t="s">
        <v>37</v>
      </c>
      <c r="E12" s="3" t="s">
        <v>38</v>
      </c>
      <c r="F12" s="3" t="s">
        <v>38</v>
      </c>
      <c r="G12" s="3" t="s">
        <v>39</v>
      </c>
      <c r="H12" s="3" t="s">
        <v>39</v>
      </c>
    </row>
    <row r="13" ht="29" customHeight="1" spans="1:8">
      <c r="A13" s="7"/>
      <c r="B13" s="3" t="s">
        <v>40</v>
      </c>
      <c r="C13" s="3" t="s">
        <v>41</v>
      </c>
      <c r="D13" s="3" t="s">
        <v>41</v>
      </c>
      <c r="E13" s="3" t="s">
        <v>42</v>
      </c>
      <c r="F13" s="3" t="s">
        <v>42</v>
      </c>
      <c r="G13" s="3" t="s">
        <v>43</v>
      </c>
      <c r="H13" s="3" t="s">
        <v>43</v>
      </c>
    </row>
    <row r="14" ht="29" customHeight="1" spans="1:8">
      <c r="A14" s="7"/>
      <c r="B14" s="3" t="s">
        <v>44</v>
      </c>
      <c r="C14" s="3" t="s">
        <v>45</v>
      </c>
      <c r="D14" s="3" t="s">
        <v>45</v>
      </c>
      <c r="E14" s="3" t="s">
        <v>46</v>
      </c>
      <c r="F14" s="3" t="s">
        <v>46</v>
      </c>
      <c r="G14" s="3" t="s">
        <v>46</v>
      </c>
      <c r="H14" s="3" t="s">
        <v>46</v>
      </c>
    </row>
    <row r="15" ht="29" customHeight="1" spans="1:8">
      <c r="A15" s="7"/>
      <c r="B15" s="3" t="s">
        <v>47</v>
      </c>
      <c r="C15" s="3">
        <v>160</v>
      </c>
      <c r="D15" s="3">
        <v>160</v>
      </c>
      <c r="E15" s="3" t="s">
        <v>46</v>
      </c>
      <c r="F15" s="3" t="s">
        <v>46</v>
      </c>
      <c r="G15" s="3" t="s">
        <v>46</v>
      </c>
      <c r="H15" s="3" t="s">
        <v>46</v>
      </c>
    </row>
    <row r="16" ht="29" customHeight="1" spans="1:8">
      <c r="A16" s="7"/>
      <c r="B16" s="3" t="s">
        <v>48</v>
      </c>
      <c r="C16" s="3">
        <v>800</v>
      </c>
      <c r="D16" s="3">
        <v>800</v>
      </c>
      <c r="E16" s="3" t="s">
        <v>46</v>
      </c>
      <c r="F16" s="3" t="s">
        <v>46</v>
      </c>
      <c r="G16" s="3" t="s">
        <v>46</v>
      </c>
      <c r="H16" s="3" t="s">
        <v>46</v>
      </c>
    </row>
    <row r="17" ht="29" customHeight="1" spans="1:8">
      <c r="A17" s="7"/>
      <c r="B17" s="3" t="s">
        <v>49</v>
      </c>
      <c r="C17" s="3" t="s">
        <v>46</v>
      </c>
      <c r="D17" s="3" t="s">
        <v>46</v>
      </c>
      <c r="E17" s="3" t="s">
        <v>46</v>
      </c>
      <c r="F17" s="3" t="s">
        <v>46</v>
      </c>
      <c r="G17" s="3" t="s">
        <v>50</v>
      </c>
      <c r="H17" s="3" t="s">
        <v>50</v>
      </c>
    </row>
    <row r="18" ht="29" customHeight="1" spans="1:8">
      <c r="A18" s="7"/>
      <c r="B18" s="3" t="s">
        <v>51</v>
      </c>
      <c r="C18" s="3" t="s">
        <v>46</v>
      </c>
      <c r="D18" s="3" t="s">
        <v>46</v>
      </c>
      <c r="E18" s="3" t="s">
        <v>46</v>
      </c>
      <c r="F18" s="3" t="s">
        <v>46</v>
      </c>
      <c r="G18" s="3">
        <v>30</v>
      </c>
      <c r="H18" s="3">
        <v>30</v>
      </c>
    </row>
    <row r="19" ht="23" customHeight="1" spans="1:8">
      <c r="A19" s="7" t="str">
        <v>树脂物性</v>
      </c>
      <c r="B19" s="3" t="s">
        <v>53</v>
      </c>
      <c r="C19" s="3" t="s">
        <v>54</v>
      </c>
      <c r="D19" s="3" t="s">
        <v>54</v>
      </c>
      <c r="E19" s="3" t="s">
        <v>55</v>
      </c>
      <c r="F19" s="3" t="s">
        <v>55</v>
      </c>
      <c r="G19" s="3" t="s">
        <v>54</v>
      </c>
      <c r="H19" s="3" t="s">
        <v>54</v>
      </c>
    </row>
    <row r="20" ht="62" customHeight="1" outlineLevel="1" spans="1:8">
      <c r="A20" s="7"/>
      <c r="B20" s="3" t="s">
        <v>56</v>
      </c>
      <c r="C20" s="3" t="s">
        <v>57</v>
      </c>
      <c r="D20" s="3" t="s">
        <v>57</v>
      </c>
      <c r="E20" s="3" t="s">
        <v>58</v>
      </c>
      <c r="F20" s="3" t="s">
        <v>58</v>
      </c>
      <c r="G20" s="3" t="s">
        <v>59</v>
      </c>
      <c r="H20" s="3" t="s">
        <v>59</v>
      </c>
    </row>
    <row r="21" ht="42" customHeight="1" outlineLevel="1" spans="1:8">
      <c r="A21" s="7"/>
      <c r="B21" s="3" t="s">
        <v>60</v>
      </c>
      <c r="C21" s="3" t="s">
        <v>61</v>
      </c>
      <c r="D21" s="3" t="s">
        <v>61</v>
      </c>
      <c r="E21" s="3" t="s">
        <v>62</v>
      </c>
      <c r="F21" s="3" t="s">
        <v>62</v>
      </c>
      <c r="G21" s="3" t="s">
        <v>61</v>
      </c>
      <c r="H21" s="3" t="s">
        <v>61</v>
      </c>
    </row>
    <row r="22" ht="23" customHeight="1" outlineLevel="1" spans="1:8">
      <c r="A22" s="7"/>
      <c r="B22" s="3" t="s">
        <v>63</v>
      </c>
      <c r="C22" s="9">
        <v>0.6</v>
      </c>
      <c r="D22" s="9">
        <v>0.6</v>
      </c>
      <c r="E22" s="9">
        <v>0.542</v>
      </c>
      <c r="F22" s="9">
        <v>0.542</v>
      </c>
      <c r="G22" s="9">
        <v>0.6</v>
      </c>
      <c r="H22" s="9">
        <v>0.6</v>
      </c>
    </row>
    <row r="23" ht="38" customHeight="1" outlineLevel="1" spans="1:8">
      <c r="A23" s="7"/>
      <c r="B23" s="3" t="s">
        <v>64</v>
      </c>
      <c r="C23" s="3" t="s">
        <v>65</v>
      </c>
      <c r="D23" s="3" t="s">
        <v>65</v>
      </c>
      <c r="E23" s="3" t="s">
        <v>66</v>
      </c>
      <c r="F23" s="3" t="s">
        <v>66</v>
      </c>
      <c r="G23" s="3" t="s">
        <v>67</v>
      </c>
      <c r="H23" s="3" t="s">
        <v>67</v>
      </c>
    </row>
    <row r="24" ht="53" customHeight="1" outlineLevel="1" spans="1:8">
      <c r="A24" s="7"/>
      <c r="B24" s="3" t="s">
        <v>68</v>
      </c>
      <c r="C24" s="3" t="s">
        <v>69</v>
      </c>
      <c r="D24" s="3" t="s">
        <v>69</v>
      </c>
      <c r="E24" s="3" t="s">
        <v>70</v>
      </c>
      <c r="F24" s="3" t="s">
        <v>70</v>
      </c>
      <c r="G24" s="3" t="s">
        <v>69</v>
      </c>
      <c r="H24" s="3" t="s">
        <v>69</v>
      </c>
    </row>
    <row r="25" ht="23" customHeight="1" outlineLevel="1" spans="1:8">
      <c r="A25" s="7"/>
      <c r="B25" s="3" t="s">
        <v>71</v>
      </c>
      <c r="C25" s="10">
        <v>0.399</v>
      </c>
      <c r="D25" s="10">
        <v>0.399</v>
      </c>
      <c r="E25" s="10">
        <v>0.458</v>
      </c>
      <c r="F25" s="10">
        <v>0.458</v>
      </c>
      <c r="G25" s="10">
        <v>0.399</v>
      </c>
      <c r="H25" s="10">
        <v>0.399</v>
      </c>
    </row>
    <row r="26" ht="68" customHeight="1" outlineLevel="1" spans="1:8">
      <c r="A26" s="7"/>
      <c r="B26" s="3" t="s">
        <v>72</v>
      </c>
      <c r="C26" s="3" t="s">
        <v>73</v>
      </c>
      <c r="D26" s="3" t="s">
        <v>73</v>
      </c>
      <c r="E26" s="3" t="s">
        <v>74</v>
      </c>
      <c r="F26" s="3" t="s">
        <v>74</v>
      </c>
      <c r="G26" s="3" t="s">
        <v>73</v>
      </c>
      <c r="H26" s="3" t="s">
        <v>73</v>
      </c>
    </row>
    <row r="27" ht="38" customHeight="1" outlineLevel="1" spans="1:8">
      <c r="A27" s="7"/>
      <c r="B27" s="3" t="s">
        <v>75</v>
      </c>
      <c r="C27" s="3" t="s">
        <v>76</v>
      </c>
      <c r="D27" s="3" t="s">
        <v>76</v>
      </c>
      <c r="E27" s="3" t="s">
        <v>77</v>
      </c>
      <c r="F27" s="3" t="s">
        <v>77</v>
      </c>
      <c r="G27" s="3" t="s">
        <v>76</v>
      </c>
      <c r="H27" s="3" t="s">
        <v>76</v>
      </c>
    </row>
    <row r="28" ht="23" customHeight="1" outlineLevel="1" spans="1:8">
      <c r="A28" s="7"/>
      <c r="B28" s="3" t="s">
        <v>78</v>
      </c>
      <c r="C28" s="3" t="s">
        <v>79</v>
      </c>
      <c r="D28" s="3" t="s">
        <v>79</v>
      </c>
      <c r="E28" s="3" t="s">
        <v>80</v>
      </c>
      <c r="F28" s="3" t="s">
        <v>80</v>
      </c>
      <c r="G28" s="3" t="s">
        <v>79</v>
      </c>
      <c r="H28" s="3" t="s">
        <v>79</v>
      </c>
    </row>
    <row r="29" ht="42" customHeight="1" outlineLevel="1" spans="1:8">
      <c r="A29" s="7"/>
      <c r="B29" s="3" t="s">
        <v>81</v>
      </c>
      <c r="C29" s="3" t="s">
        <v>82</v>
      </c>
      <c r="D29" s="3" t="s">
        <v>82</v>
      </c>
      <c r="E29" s="3" t="s">
        <v>83</v>
      </c>
      <c r="F29" s="3" t="s">
        <v>83</v>
      </c>
      <c r="G29" s="3" t="s">
        <v>82</v>
      </c>
      <c r="H29" s="3" t="s">
        <v>82</v>
      </c>
    </row>
    <row r="30" ht="38" customHeight="1" outlineLevel="1" spans="1:8">
      <c r="A30" s="7"/>
      <c r="B30" s="3" t="s">
        <v>84</v>
      </c>
      <c r="C30" s="3" t="s">
        <v>85</v>
      </c>
      <c r="D30" s="3" t="s">
        <v>85</v>
      </c>
      <c r="E30" s="3" t="s">
        <v>86</v>
      </c>
      <c r="F30" s="3" t="s">
        <v>86</v>
      </c>
      <c r="G30" s="3" t="s">
        <v>85</v>
      </c>
      <c r="H30" s="3" t="s">
        <v>85</v>
      </c>
    </row>
    <row r="31" ht="42" customHeight="1" outlineLevel="1" spans="1:8">
      <c r="A31" s="7"/>
      <c r="B31" s="3" t="s">
        <v>87</v>
      </c>
      <c r="C31" s="3">
        <v>1.08</v>
      </c>
      <c r="D31" s="3">
        <v>1.08</v>
      </c>
      <c r="E31" s="3">
        <v>1.04</v>
      </c>
      <c r="F31" s="3">
        <v>1.04</v>
      </c>
      <c r="G31" s="3">
        <v>1.08</v>
      </c>
      <c r="H31" s="3">
        <v>1.08</v>
      </c>
    </row>
    <row r="32" ht="38" customHeight="1" outlineLevel="1" spans="1:8">
      <c r="A32" s="7"/>
      <c r="B32" s="3" t="s">
        <v>88</v>
      </c>
      <c r="C32" s="3" t="s">
        <v>89</v>
      </c>
      <c r="D32" s="3" t="s">
        <v>89</v>
      </c>
      <c r="E32" s="3" t="s">
        <v>89</v>
      </c>
      <c r="F32" s="3" t="s">
        <v>89</v>
      </c>
      <c r="G32" s="3" t="s">
        <v>89</v>
      </c>
      <c r="H32" s="3" t="s">
        <v>89</v>
      </c>
    </row>
    <row r="33" ht="72" customHeight="1" outlineLevel="1" spans="1:8">
      <c r="A33" s="7"/>
      <c r="B33" s="3" t="s">
        <v>90</v>
      </c>
      <c r="C33" s="3" t="s">
        <v>91</v>
      </c>
      <c r="D33" s="3" t="s">
        <v>91</v>
      </c>
      <c r="E33" s="3" t="s">
        <v>92</v>
      </c>
      <c r="F33" s="3" t="s">
        <v>92</v>
      </c>
      <c r="G33" s="3" t="s">
        <v>91</v>
      </c>
      <c r="H33" s="3" t="s">
        <v>91</v>
      </c>
    </row>
    <row r="34" ht="23" customHeight="1" outlineLevel="1" spans="1:8">
      <c r="A34" s="7"/>
      <c r="B34" s="3" t="s">
        <v>93</v>
      </c>
      <c r="C34" s="3">
        <v>7.6</v>
      </c>
      <c r="D34" s="3">
        <v>7.6</v>
      </c>
      <c r="E34" s="3">
        <v>8.2</v>
      </c>
      <c r="F34" s="3">
        <v>8.2</v>
      </c>
      <c r="G34" s="3">
        <v>7.6</v>
      </c>
      <c r="H34" s="3">
        <v>7.6</v>
      </c>
    </row>
    <row r="35" ht="23" customHeight="1" outlineLevel="1" spans="1:8">
      <c r="A35" s="7"/>
      <c r="B35" s="3" t="s">
        <v>94</v>
      </c>
      <c r="C35" s="3">
        <v>36.8</v>
      </c>
      <c r="D35" s="3">
        <v>36.8</v>
      </c>
      <c r="E35" s="3">
        <v>39.2</v>
      </c>
      <c r="F35" s="3">
        <v>39.2</v>
      </c>
      <c r="G35" s="3">
        <v>36.8</v>
      </c>
      <c r="H35" s="3">
        <v>36.8</v>
      </c>
    </row>
    <row r="36" ht="38" customHeight="1" outlineLevel="1" spans="1:8">
      <c r="A36" s="7"/>
      <c r="B36" s="3" t="s">
        <v>95</v>
      </c>
      <c r="C36" s="3" t="s">
        <v>96</v>
      </c>
      <c r="D36" s="3" t="s">
        <v>96</v>
      </c>
      <c r="E36" s="3" t="s">
        <v>97</v>
      </c>
      <c r="F36" s="3" t="s">
        <v>97</v>
      </c>
      <c r="G36" s="3" t="s">
        <v>96</v>
      </c>
      <c r="H36" s="3" t="s">
        <v>96</v>
      </c>
    </row>
    <row r="37" ht="38" customHeight="1" outlineLevel="1" spans="1:8">
      <c r="A37" s="7"/>
      <c r="B37" s="3" t="s">
        <v>98</v>
      </c>
      <c r="C37" s="3" t="s">
        <v>99</v>
      </c>
      <c r="D37" s="3" t="s">
        <v>99</v>
      </c>
      <c r="E37" s="3" t="s">
        <v>100</v>
      </c>
      <c r="F37" s="3" t="s">
        <v>100</v>
      </c>
      <c r="G37" s="3" t="s">
        <v>99</v>
      </c>
      <c r="H37" s="3" t="s">
        <v>99</v>
      </c>
    </row>
    <row r="38" ht="23" customHeight="1" outlineLevel="1" spans="1:8">
      <c r="A38" s="7"/>
      <c r="B38" s="3" t="s">
        <v>101</v>
      </c>
      <c r="C38" s="3" t="s">
        <v>102</v>
      </c>
      <c r="D38" s="3" t="s">
        <v>102</v>
      </c>
      <c r="E38" s="3" t="s">
        <v>102</v>
      </c>
      <c r="F38" s="3" t="s">
        <v>102</v>
      </c>
      <c r="G38" s="3" t="s">
        <v>102</v>
      </c>
      <c r="H38" s="3" t="s">
        <v>102</v>
      </c>
    </row>
    <row r="39" ht="23" customHeight="1" outlineLevel="1" spans="1:8">
      <c r="A39" s="7"/>
      <c r="B39" s="3" t="s">
        <v>103</v>
      </c>
      <c r="C39" s="3">
        <v>850</v>
      </c>
      <c r="D39" s="3">
        <v>850</v>
      </c>
      <c r="E39" s="3">
        <v>1250</v>
      </c>
      <c r="F39" s="3">
        <v>1250</v>
      </c>
      <c r="G39" s="3">
        <v>850</v>
      </c>
      <c r="H39" s="3">
        <v>850</v>
      </c>
    </row>
    <row r="40" ht="38" customHeight="1" outlineLevel="1" spans="1:8">
      <c r="A40" s="7"/>
      <c r="B40" s="3" t="s">
        <v>104</v>
      </c>
      <c r="C40" s="3" t="s">
        <v>105</v>
      </c>
      <c r="D40" s="3" t="s">
        <v>105</v>
      </c>
      <c r="E40" s="3" t="s">
        <v>105</v>
      </c>
      <c r="F40" s="3" t="s">
        <v>105</v>
      </c>
      <c r="G40" s="3" t="s">
        <v>105</v>
      </c>
      <c r="H40" s="3" t="s">
        <v>105</v>
      </c>
    </row>
    <row r="41" ht="42" customHeight="1" outlineLevel="1" spans="1:8">
      <c r="A41" s="7"/>
      <c r="B41" s="3" t="s">
        <v>106</v>
      </c>
      <c r="C41" s="3" t="s">
        <v>107</v>
      </c>
      <c r="D41" s="3" t="s">
        <v>107</v>
      </c>
      <c r="E41" s="3" t="s">
        <v>107</v>
      </c>
      <c r="F41" s="3" t="s">
        <v>107</v>
      </c>
      <c r="G41" s="3" t="s">
        <v>107</v>
      </c>
      <c r="H41" s="3" t="s">
        <v>107</v>
      </c>
    </row>
    <row r="42" ht="42" customHeight="1" outlineLevel="1" spans="1:8">
      <c r="A42" s="7"/>
      <c r="B42" s="3" t="s">
        <v>108</v>
      </c>
      <c r="C42" s="3" t="s">
        <v>109</v>
      </c>
      <c r="D42" s="3" t="s">
        <v>109</v>
      </c>
      <c r="E42" s="3" t="s">
        <v>109</v>
      </c>
      <c r="F42" s="3" t="s">
        <v>109</v>
      </c>
      <c r="G42" s="3" t="s">
        <v>109</v>
      </c>
      <c r="H42" s="3" t="s">
        <v>109</v>
      </c>
    </row>
    <row r="43" ht="42" customHeight="1" outlineLevel="1" spans="1:8">
      <c r="A43" s="7"/>
      <c r="B43" s="3" t="s">
        <v>110</v>
      </c>
      <c r="C43" s="3" t="s">
        <v>111</v>
      </c>
      <c r="D43" s="3" t="s">
        <v>111</v>
      </c>
      <c r="E43" s="3" t="s">
        <v>111</v>
      </c>
      <c r="F43" s="3" t="s">
        <v>111</v>
      </c>
      <c r="G43" s="3" t="s">
        <v>111</v>
      </c>
      <c r="H43" s="3" t="s">
        <v>111</v>
      </c>
    </row>
    <row r="44" ht="42" customHeight="1" outlineLevel="1" spans="1:8">
      <c r="A44" s="7"/>
      <c r="B44" s="3" t="s">
        <v>112</v>
      </c>
      <c r="C44" s="3" t="s">
        <v>113</v>
      </c>
      <c r="D44" s="3" t="s">
        <v>113</v>
      </c>
      <c r="E44" s="3" t="s">
        <v>113</v>
      </c>
      <c r="F44" s="3" t="s">
        <v>113</v>
      </c>
      <c r="G44" s="3" t="s">
        <v>113</v>
      </c>
      <c r="H44" s="3" t="s">
        <v>113</v>
      </c>
    </row>
    <row r="45" ht="23" customHeight="1" outlineLevel="1" spans="1:8">
      <c r="A45" s="7"/>
      <c r="B45" s="3" t="s">
        <v>114</v>
      </c>
      <c r="C45" s="3" t="s">
        <v>115</v>
      </c>
      <c r="D45" s="3" t="s">
        <v>115</v>
      </c>
      <c r="E45" s="3" t="s">
        <v>115</v>
      </c>
      <c r="F45" s="3" t="s">
        <v>115</v>
      </c>
      <c r="G45" s="3" t="s">
        <v>115</v>
      </c>
      <c r="H45" s="3" t="s">
        <v>115</v>
      </c>
    </row>
    <row r="46" ht="23" customHeight="1" outlineLevel="1" spans="1:8">
      <c r="A46" s="7"/>
      <c r="B46" s="3" t="s">
        <v>116</v>
      </c>
      <c r="C46" s="3" t="s">
        <v>117</v>
      </c>
      <c r="D46" s="3" t="s">
        <v>117</v>
      </c>
      <c r="E46" s="3" t="s">
        <v>117</v>
      </c>
      <c r="F46" s="3" t="s">
        <v>117</v>
      </c>
      <c r="G46" s="3" t="s">
        <v>117</v>
      </c>
      <c r="H46" s="3" t="s">
        <v>117</v>
      </c>
    </row>
    <row r="47" ht="53" customHeight="1" outlineLevel="1" spans="1:8">
      <c r="A47" s="7"/>
      <c r="B47" s="3" t="s">
        <v>118</v>
      </c>
      <c r="C47" s="3" t="s">
        <v>119</v>
      </c>
      <c r="D47" s="3" t="s">
        <v>119</v>
      </c>
      <c r="E47" s="3" t="s">
        <v>119</v>
      </c>
      <c r="F47" s="3" t="s">
        <v>119</v>
      </c>
      <c r="G47" s="3" t="s">
        <v>119</v>
      </c>
      <c r="H47" s="3" t="s">
        <v>119</v>
      </c>
    </row>
    <row r="48" ht="23" customHeight="1" outlineLevel="1" spans="1:8">
      <c r="A48" s="7"/>
      <c r="B48" s="3"/>
      <c r="C48" s="3"/>
      <c r="D48" s="3"/>
      <c r="E48" s="3"/>
      <c r="F48" s="3"/>
      <c r="G48" s="3"/>
      <c r="H48" s="3"/>
    </row>
    <row r="49" ht="38" customHeight="1" spans="1:8">
      <c r="A49" s="7" t="s">
        <v>120</v>
      </c>
      <c r="B49" s="3" t="s">
        <v>121</v>
      </c>
      <c r="C49" s="3" t="s">
        <v>122</v>
      </c>
      <c r="D49" s="3" t="s">
        <v>123</v>
      </c>
      <c r="E49" s="3" t="s">
        <v>124</v>
      </c>
      <c r="F49" s="3" t="s">
        <v>125</v>
      </c>
      <c r="G49" s="3" t="s">
        <v>126</v>
      </c>
      <c r="H49" s="3" t="s">
        <v>127</v>
      </c>
    </row>
    <row r="50" ht="53" customHeight="1" spans="1:8">
      <c r="A50" s="7"/>
      <c r="B50" s="3" t="s">
        <v>128</v>
      </c>
      <c r="C50" s="3" t="s">
        <v>129</v>
      </c>
      <c r="D50" s="3" t="s">
        <v>129</v>
      </c>
      <c r="E50" s="3" t="s">
        <v>129</v>
      </c>
      <c r="F50" s="3" t="s">
        <v>129</v>
      </c>
      <c r="G50" s="3" t="s">
        <v>129</v>
      </c>
      <c r="H50" s="3" t="s">
        <v>129</v>
      </c>
    </row>
    <row r="51" ht="23" customHeight="1" spans="1:8">
      <c r="A51" s="7" t="str">
        <v>实验配方</v>
      </c>
      <c r="B51" s="3" t="s">
        <v>131</v>
      </c>
      <c r="C51" s="3" t="s">
        <v>18</v>
      </c>
      <c r="D51" s="3" t="s">
        <v>19</v>
      </c>
      <c r="E51" s="3" t="s">
        <v>20</v>
      </c>
      <c r="F51" s="3" t="s">
        <v>21</v>
      </c>
      <c r="G51" s="3" t="s">
        <v>22</v>
      </c>
      <c r="H51" s="3" t="s">
        <v>23</v>
      </c>
    </row>
    <row r="52" ht="23" customHeight="1" spans="1:8">
      <c r="A52" s="7"/>
      <c r="B52" s="3" t="s">
        <v>55</v>
      </c>
      <c r="C52" s="3" t="s">
        <v>46</v>
      </c>
      <c r="D52" s="3" t="s">
        <v>46</v>
      </c>
      <c r="E52" s="3" t="s">
        <v>132</v>
      </c>
      <c r="F52" s="3">
        <v>65</v>
      </c>
      <c r="G52" s="3" t="s">
        <v>46</v>
      </c>
      <c r="H52" s="3" t="s">
        <v>46</v>
      </c>
    </row>
    <row r="53" ht="23" customHeight="1" spans="1:8">
      <c r="A53" s="7"/>
      <c r="B53" s="3" t="s">
        <v>54</v>
      </c>
      <c r="C53" s="3" t="s">
        <v>133</v>
      </c>
      <c r="D53" s="3">
        <v>75</v>
      </c>
      <c r="E53" s="3" t="s">
        <v>46</v>
      </c>
      <c r="F53" s="3" t="s">
        <v>46</v>
      </c>
      <c r="G53" s="3" t="s">
        <v>134</v>
      </c>
      <c r="H53" s="3">
        <v>75</v>
      </c>
    </row>
    <row r="54" ht="23" customHeight="1" spans="1:8">
      <c r="A54" s="7"/>
      <c r="B54" s="3" t="s">
        <v>135</v>
      </c>
      <c r="C54" s="3" t="s">
        <v>46</v>
      </c>
      <c r="D54" s="3" t="s">
        <v>46</v>
      </c>
      <c r="E54" s="3">
        <v>10</v>
      </c>
      <c r="F54" s="3">
        <v>10</v>
      </c>
      <c r="G54" s="3" t="s">
        <v>46</v>
      </c>
      <c r="H54" s="3" t="s">
        <v>46</v>
      </c>
    </row>
    <row r="55" ht="23" customHeight="1" spans="1:8">
      <c r="A55" s="7"/>
      <c r="B55" s="3" t="s">
        <v>136</v>
      </c>
      <c r="C55" s="3" t="s">
        <v>137</v>
      </c>
      <c r="D55" s="3">
        <v>2</v>
      </c>
      <c r="E55" s="3" t="s">
        <v>46</v>
      </c>
      <c r="F55" s="3" t="s">
        <v>46</v>
      </c>
      <c r="G55" s="3" t="s">
        <v>46</v>
      </c>
      <c r="H55" s="3" t="s">
        <v>46</v>
      </c>
    </row>
    <row r="56" ht="23" customHeight="1" spans="1:8">
      <c r="A56" s="7"/>
      <c r="B56" s="3" t="s">
        <v>138</v>
      </c>
      <c r="C56" s="3">
        <v>22.5</v>
      </c>
      <c r="D56" s="3" t="s">
        <v>139</v>
      </c>
      <c r="E56" s="3">
        <v>24.5</v>
      </c>
      <c r="F56" s="3">
        <v>24</v>
      </c>
      <c r="G56" s="3">
        <v>24.5</v>
      </c>
      <c r="H56" s="3">
        <v>24</v>
      </c>
    </row>
    <row r="57" ht="23" customHeight="1" spans="1:8">
      <c r="A57" s="7"/>
      <c r="B57" s="3" t="s">
        <v>140</v>
      </c>
      <c r="C57" s="3" t="s">
        <v>46</v>
      </c>
      <c r="D57" s="3">
        <v>0.5</v>
      </c>
      <c r="E57" s="3" t="s">
        <v>46</v>
      </c>
      <c r="F57" s="3">
        <v>0.5</v>
      </c>
      <c r="G57" s="3" t="s">
        <v>46</v>
      </c>
      <c r="H57" s="3">
        <v>0.5</v>
      </c>
    </row>
    <row r="58" ht="23" customHeight="1" spans="1:8">
      <c r="A58" s="7"/>
      <c r="B58" s="3" t="s">
        <v>141</v>
      </c>
      <c r="C58" s="3">
        <v>0.3</v>
      </c>
      <c r="D58" s="3">
        <v>0.3</v>
      </c>
      <c r="E58" s="3">
        <v>0.3</v>
      </c>
      <c r="F58" s="3">
        <v>0.3</v>
      </c>
      <c r="G58" s="3">
        <v>0.3</v>
      </c>
      <c r="H58" s="3">
        <v>0.3</v>
      </c>
    </row>
    <row r="59" ht="23" customHeight="1" spans="1:8">
      <c r="A59" s="7"/>
      <c r="B59" s="3" t="s">
        <v>142</v>
      </c>
      <c r="C59" s="3">
        <v>0.2</v>
      </c>
      <c r="D59" s="3">
        <v>0.2</v>
      </c>
      <c r="E59" s="3">
        <v>0.2</v>
      </c>
      <c r="F59" s="3">
        <v>0.2</v>
      </c>
      <c r="G59" s="3">
        <v>0.2</v>
      </c>
      <c r="H59" s="3">
        <v>0.2</v>
      </c>
    </row>
    <row r="60" ht="23" customHeight="1" spans="1:8">
      <c r="A60" s="7"/>
      <c r="B60" s="11" t="s">
        <v>143</v>
      </c>
      <c r="C60" s="11">
        <f t="shared" ref="C60:H60" si="0">IF(COUNTA(C52:C59)=0,"",IF(OR(SUMPRODUCT(($B$52:$B$59&lt;&gt;"")*(C52:C59=""))&gt;0,SUMPRODUCT(($B$52:$B$59="")*(C52:C59&lt;&gt;""))&gt;0,MIN(IFERROR(IF((C52="")+(C52="/"),0,IF(ISNUMBER(C52),C52,IF((RIGHT(LOWER(TRIM(C52)),1)="g")*ISERROR(SEARCH("%",C52))*ISERROR(SEARCH("/",C52)),--LEFT(TRIM(C52),LEN(TRIM(C52))-1),-1))),-1),IFERROR(IF((C53="")+(C53="/"),0,IF(ISNUMBER(C53),C53,IF((RIGHT(LOWER(TRIM(C53)),1)="g")*ISERROR(SEARCH("%",C53))*ISERROR(SEARCH("/",C53)),--LEFT(TRIM(C53),LEN(TRIM(C53))-1),-1))),-1),IFERROR(IF((C54="")+(C54="/"),0,IF(ISNUMBER(C54),C54,IF((RIGHT(LOWER(TRIM(C54)),1)="g")*ISERROR(SEARCH("%",C54))*ISERROR(SEARCH("/",C54)),--LEFT(TRIM(C54),LEN(TRIM(C54))-1),-1))),-1),IFERROR(IF((C55="")+(C55="/"),0,IF(ISNUMBER(C55),C55,IF((RIGHT(LOWER(TRIM(C55)),1)="g")*ISERROR(SEARCH("%",C55))*ISERROR(SEARCH("/",C55)),--LEFT(TRIM(C55),LEN(TRIM(C55))-1),-1))),-1),IFERROR(IF((C56="")+(C56="/"),0,IF(ISNUMBER(C56),C56,IF((RIGHT(LOWER(TRIM(C56)),1)="g")*ISERROR(SEARCH("%",C56))*ISERROR(SEARCH("/",C56)),--LEFT(TRIM(C56),LEN(TRIM(C56))-1),-1))),-1),IFERROR(IF((C57="")+(C57="/"),0,IF(ISNUMBER(C57),C57,IF((RIGHT(LOWER(TRIM(C57)),1)="g")*ISERROR(SEARCH("%",C57))*ISERROR(SEARCH("/",C57)),--LEFT(TRIM(C57),LEN(TRIM(C57))-1),-1))),-1),IFERROR(IF((C58="")+(C58="/"),0,IF(ISNUMBER(C58),C58,IF((RIGHT(LOWER(TRIM(C58)),1)="g")*ISERROR(SEARCH("%",C58))*ISERROR(SEARCH("/",C58)),--LEFT(TRIM(C58),LEN(TRIM(C58))-1),-1))),-1),IFERROR(IF((C59="")+(C59="/"),0,IF(ISNUMBER(C59),C59,IF((RIGHT(LOWER(TRIM(C59)),1)="g")*ISERROR(SEARCH("%",C59))*ISERROR(SEARCH("/",C59)),--LEFT(TRIM(C59),LEN(TRIM(C59))-1),-1))),-1))&lt;0),"",SUM(IFERROR(IF((C52="")+(C52="/"),0,IF(ISNUMBER(C52),C52,IF((RIGHT(LOWER(TRIM(C52)),1)="g")*ISERROR(SEARCH("%",C52))*ISERROR(SEARCH("/",C52)),--LEFT(TRIM(C52),LEN(TRIM(C52))-1),-1))),-1),IFERROR(IF((C53="")+(C53="/"),0,IF(ISNUMBER(C53),C53,IF((RIGHT(LOWER(TRIM(C53)),1)="g")*ISERROR(SEARCH("%",C53))*ISERROR(SEARCH("/",C53)),--LEFT(TRIM(C53),LEN(TRIM(C53))-1),-1))),-1),IFERROR(IF((C54="")+(C54="/"),0,IF(ISNUMBER(C54),C54,IF((RIGHT(LOWER(TRIM(C54)),1)="g")*ISERROR(SEARCH("%",C54))*ISERROR(SEARCH("/",C54)),--LEFT(TRIM(C54),LEN(TRIM(C54))-1),-1))),-1),IFERROR(IF((C55="")+(C55="/"),0,IF(ISNUMBER(C55),C55,IF((RIGHT(LOWER(TRIM(C55)),1)="g")*ISERROR(SEARCH("%",C55))*ISERROR(SEARCH("/",C55)),--LEFT(TRIM(C55),LEN(TRIM(C55))-1),-1))),-1),IFERROR(IF((C56="")+(C56="/"),0,IF(ISNUMBER(C56),C56,IF((RIGHT(LOWER(TRIM(C56)),1)="g")*ISERROR(SEARCH("%",C56))*ISERROR(SEARCH("/",C56)),--LEFT(TRIM(C56),LEN(TRIM(C56))-1),-1))),-1),IFERROR(IF((C57="")+(C57="/"),0,IF(ISNUMBER(C57),C57,IF((RIGHT(LOWER(TRIM(C57)),1)="g")*ISERROR(SEARCH("%",C57))*ISERROR(SEARCH("/",C57)),--LEFT(TRIM(C57),LEN(TRIM(C57))-1),-1))),-1),IFERROR(IF((C58="")+(C58="/"),0,IF(ISNUMBER(C58),C58,IF((RIGHT(LOWER(TRIM(C58)),1)="g")*ISERROR(SEARCH("%",C58))*ISERROR(SEARCH("/",C58)),--LEFT(TRIM(C58),LEN(TRIM(C58))-1),-1))),-1),IFERROR(IF((C59="")+(C59="/"),0,IF(ISNUMBER(C59),C59,IF((RIGHT(LOWER(TRIM(C59)),1)="g")*ISERROR(SEARCH("%",C59))*ISERROR(SEARCH("/",C59)),--LEFT(TRIM(C59),LEN(TRIM(C59))-1),-1))),-1))))</f>
        <v>100</v>
      </c>
      <c r="D60" s="11">
        <f t="shared" si="0"/>
        <v>100</v>
      </c>
      <c r="E60" s="11">
        <f t="shared" si="0"/>
        <v>100</v>
      </c>
      <c r="F60" s="11">
        <f t="shared" si="0"/>
        <v>100</v>
      </c>
      <c r="G60" s="11">
        <f t="shared" si="0"/>
        <v>100</v>
      </c>
      <c r="H60" s="11">
        <f t="shared" si="0"/>
        <v>100</v>
      </c>
    </row>
    <row r="61" ht="38" customHeight="1" spans="1:8">
      <c r="A61" s="7" t="s">
        <v>144</v>
      </c>
      <c r="B61" s="3" t="s">
        <v>145</v>
      </c>
      <c r="C61" s="3" t="s">
        <v>146</v>
      </c>
      <c r="D61" s="3" t="s">
        <v>146</v>
      </c>
      <c r="E61" s="3" t="s">
        <v>147</v>
      </c>
      <c r="F61" s="3" t="s">
        <v>147</v>
      </c>
      <c r="G61" s="3" t="s">
        <v>146</v>
      </c>
      <c r="H61" s="3" t="s">
        <v>146</v>
      </c>
    </row>
    <row r="62" ht="23" customHeight="1" outlineLevel="1" spans="1:8">
      <c r="A62" s="7"/>
      <c r="B62" s="3" t="s">
        <v>148</v>
      </c>
      <c r="C62" s="9">
        <v>0.475</v>
      </c>
      <c r="D62" s="9">
        <v>0.477</v>
      </c>
      <c r="E62" s="9">
        <v>0.428</v>
      </c>
      <c r="F62" s="9">
        <v>0.43</v>
      </c>
      <c r="G62" s="9">
        <v>0.455</v>
      </c>
      <c r="H62" s="9">
        <v>0.457</v>
      </c>
    </row>
    <row r="63" ht="42" customHeight="1" outlineLevel="1" spans="1:8">
      <c r="A63" s="7"/>
      <c r="B63" s="3" t="s">
        <v>149</v>
      </c>
      <c r="C63" s="3" t="s">
        <v>150</v>
      </c>
      <c r="D63" s="3" t="s">
        <v>151</v>
      </c>
      <c r="E63" s="3" t="s">
        <v>152</v>
      </c>
      <c r="F63" s="3" t="s">
        <v>153</v>
      </c>
      <c r="G63" s="3" t="s">
        <v>154</v>
      </c>
      <c r="H63" s="3" t="s">
        <v>150</v>
      </c>
    </row>
    <row r="64" ht="28" customHeight="1" spans="1:8">
      <c r="A64" s="7" t="s">
        <v>155</v>
      </c>
      <c r="B64" s="3" t="s">
        <v>156</v>
      </c>
      <c r="C64" s="3" t="s">
        <v>157</v>
      </c>
      <c r="D64" s="3" t="s">
        <v>157</v>
      </c>
      <c r="E64" s="3" t="s">
        <v>157</v>
      </c>
      <c r="F64" s="3" t="s">
        <v>157</v>
      </c>
      <c r="G64" s="3" t="s">
        <v>157</v>
      </c>
      <c r="H64" s="3" t="s">
        <v>157</v>
      </c>
    </row>
    <row r="65" ht="72" customHeight="1" outlineLevel="1" spans="1:8">
      <c r="A65" s="7"/>
      <c r="B65" s="3" t="s">
        <v>158</v>
      </c>
      <c r="C65" s="3" t="s">
        <v>159</v>
      </c>
      <c r="D65" s="3" t="s">
        <v>159</v>
      </c>
      <c r="E65" s="3" t="s">
        <v>159</v>
      </c>
      <c r="F65" s="3" t="s">
        <v>159</v>
      </c>
      <c r="G65" s="3" t="s">
        <v>160</v>
      </c>
      <c r="H65" s="3" t="s">
        <v>161</v>
      </c>
    </row>
    <row r="66" ht="23" customHeight="1" outlineLevel="1" spans="1:8">
      <c r="A66" s="7"/>
      <c r="B66" s="3" t="s">
        <v>162</v>
      </c>
      <c r="C66" s="3" t="s">
        <v>163</v>
      </c>
      <c r="D66" s="3" t="s">
        <v>163</v>
      </c>
      <c r="E66" s="3" t="s">
        <v>164</v>
      </c>
      <c r="F66" s="3" t="s">
        <v>165</v>
      </c>
      <c r="G66" s="3" t="s">
        <v>166</v>
      </c>
      <c r="H66" s="3" t="s">
        <v>166</v>
      </c>
    </row>
    <row r="67" ht="23" customHeight="1" outlineLevel="1" spans="1:8">
      <c r="A67" s="7"/>
      <c r="B67" s="3" t="s">
        <v>167</v>
      </c>
      <c r="C67" s="3">
        <v>84.2</v>
      </c>
      <c r="D67" s="3">
        <v>83.9</v>
      </c>
      <c r="E67" s="3">
        <v>82.5</v>
      </c>
      <c r="F67" s="3">
        <v>82.2</v>
      </c>
      <c r="G67" s="3">
        <v>78.1</v>
      </c>
      <c r="H67" s="3">
        <v>77.8</v>
      </c>
    </row>
    <row r="68" ht="23" customHeight="1" outlineLevel="2" spans="1:8">
      <c r="A68" s="7"/>
      <c r="B68" s="3" t="s">
        <v>168</v>
      </c>
      <c r="C68" s="3">
        <v>96.1</v>
      </c>
      <c r="D68" s="3">
        <v>95.8</v>
      </c>
      <c r="E68" s="3">
        <v>94.2</v>
      </c>
      <c r="F68" s="3">
        <v>94</v>
      </c>
      <c r="G68" s="3">
        <v>90.3</v>
      </c>
      <c r="H68" s="3">
        <v>90</v>
      </c>
    </row>
    <row r="69" ht="23" customHeight="1" outlineLevel="2" spans="1:8">
      <c r="A69" s="7"/>
      <c r="B69" s="3" t="s">
        <v>169</v>
      </c>
      <c r="C69" s="3">
        <v>100.4</v>
      </c>
      <c r="D69" s="3">
        <v>100.1</v>
      </c>
      <c r="E69" s="3">
        <v>99.5</v>
      </c>
      <c r="F69" s="3">
        <v>99.2</v>
      </c>
      <c r="G69" s="3">
        <v>96.2</v>
      </c>
      <c r="H69" s="3">
        <v>95.9</v>
      </c>
    </row>
    <row r="70" ht="23" customHeight="1" outlineLevel="2" spans="1:8">
      <c r="A70" s="7"/>
      <c r="B70" s="3" t="s">
        <v>170</v>
      </c>
      <c r="C70" s="9">
        <v>0.005</v>
      </c>
      <c r="D70" s="9">
        <v>0.006</v>
      </c>
      <c r="E70" s="9">
        <v>0.008</v>
      </c>
      <c r="F70" s="9">
        <v>0.009</v>
      </c>
      <c r="G70" s="9">
        <v>0.006</v>
      </c>
      <c r="H70" s="9">
        <v>0.007</v>
      </c>
    </row>
    <row r="71" ht="23" customHeight="1" outlineLevel="2" spans="1:8">
      <c r="A71" s="7"/>
      <c r="B71" s="3" t="s">
        <v>171</v>
      </c>
      <c r="C71" s="9">
        <v>0.912</v>
      </c>
      <c r="D71" s="9">
        <v>0.908</v>
      </c>
      <c r="E71" s="9">
        <v>0.902</v>
      </c>
      <c r="F71" s="9">
        <v>0.898</v>
      </c>
      <c r="G71" s="9">
        <v>0.914</v>
      </c>
      <c r="H71" s="9">
        <v>0.91</v>
      </c>
    </row>
    <row r="72" ht="23" customHeight="1" outlineLevel="1" spans="1:8">
      <c r="A72" s="7"/>
      <c r="B72" s="3" t="s">
        <v>172</v>
      </c>
      <c r="C72" s="3" t="s">
        <v>173</v>
      </c>
      <c r="D72" s="3" t="s">
        <v>173</v>
      </c>
      <c r="E72" s="3" t="s">
        <v>174</v>
      </c>
      <c r="F72" s="3" t="s">
        <v>174</v>
      </c>
      <c r="G72" s="3" t="s">
        <v>175</v>
      </c>
      <c r="H72" s="3" t="s">
        <v>175</v>
      </c>
    </row>
    <row r="73" ht="23" customHeight="1" outlineLevel="2" spans="1:8">
      <c r="A73" s="7"/>
      <c r="B73" s="3" t="s">
        <v>176</v>
      </c>
      <c r="C73" s="3" t="s">
        <v>175</v>
      </c>
      <c r="D73" s="3" t="s">
        <v>175</v>
      </c>
      <c r="E73" s="3" t="s">
        <v>173</v>
      </c>
      <c r="F73" s="3" t="s">
        <v>173</v>
      </c>
      <c r="G73" s="3" t="s">
        <v>175</v>
      </c>
      <c r="H73" s="3" t="s">
        <v>175</v>
      </c>
    </row>
    <row r="74" ht="23" customHeight="1" outlineLevel="2" spans="1:8">
      <c r="A74" s="7"/>
      <c r="B74" s="3" t="s">
        <v>177</v>
      </c>
      <c r="C74" s="3" t="s">
        <v>175</v>
      </c>
      <c r="D74" s="3" t="s">
        <v>175</v>
      </c>
      <c r="E74" s="3" t="s">
        <v>173</v>
      </c>
      <c r="F74" s="3" t="s">
        <v>173</v>
      </c>
      <c r="G74" s="3" t="s">
        <v>178</v>
      </c>
      <c r="H74" s="3" t="s">
        <v>178</v>
      </c>
    </row>
    <row r="75" ht="23" customHeight="1" outlineLevel="1" spans="1:8">
      <c r="A75" s="7"/>
      <c r="B75" s="3" t="s">
        <v>179</v>
      </c>
      <c r="C75" s="3" t="s">
        <v>180</v>
      </c>
      <c r="D75" s="3" t="s">
        <v>180</v>
      </c>
      <c r="E75" s="3" t="s">
        <v>180</v>
      </c>
      <c r="F75" s="3" t="s">
        <v>180</v>
      </c>
      <c r="G75" s="3" t="s">
        <v>181</v>
      </c>
      <c r="H75" s="3" t="s">
        <v>181</v>
      </c>
    </row>
    <row r="76" ht="23" customHeight="1" outlineLevel="2" spans="1:8">
      <c r="A76" s="7"/>
      <c r="B76" s="3" t="s">
        <v>182</v>
      </c>
      <c r="C76" s="3" t="s">
        <v>180</v>
      </c>
      <c r="D76" s="3" t="s">
        <v>180</v>
      </c>
      <c r="E76" s="3" t="s">
        <v>180</v>
      </c>
      <c r="F76" s="3" t="s">
        <v>180</v>
      </c>
      <c r="G76" s="3" t="s">
        <v>181</v>
      </c>
      <c r="H76" s="3" t="s">
        <v>181</v>
      </c>
    </row>
    <row r="77" ht="23" customHeight="1" outlineLevel="2" spans="1:8">
      <c r="A77" s="7"/>
      <c r="B77" s="3" t="s">
        <v>183</v>
      </c>
      <c r="C77" s="3" t="s">
        <v>180</v>
      </c>
      <c r="D77" s="3" t="s">
        <v>180</v>
      </c>
      <c r="E77" s="3" t="s">
        <v>180</v>
      </c>
      <c r="F77" s="3" t="s">
        <v>180</v>
      </c>
      <c r="G77" s="3" t="s">
        <v>181</v>
      </c>
      <c r="H77" s="3" t="s">
        <v>181</v>
      </c>
    </row>
    <row r="78" ht="23" customHeight="1" outlineLevel="2" spans="1:8">
      <c r="A78" s="7"/>
      <c r="B78" s="3" t="s">
        <v>184</v>
      </c>
      <c r="C78" s="3" t="s">
        <v>180</v>
      </c>
      <c r="D78" s="3" t="s">
        <v>180</v>
      </c>
      <c r="E78" s="3" t="s">
        <v>180</v>
      </c>
      <c r="F78" s="3" t="s">
        <v>180</v>
      </c>
      <c r="G78" s="3" t="s">
        <v>181</v>
      </c>
      <c r="H78" s="3" t="s">
        <v>181</v>
      </c>
    </row>
    <row r="79" ht="23" customHeight="1" outlineLevel="2" spans="1:8">
      <c r="A79" s="7"/>
      <c r="B79" s="3" t="s">
        <v>185</v>
      </c>
      <c r="C79" s="3" t="s">
        <v>180</v>
      </c>
      <c r="D79" s="3" t="s">
        <v>180</v>
      </c>
      <c r="E79" s="3" t="s">
        <v>180</v>
      </c>
      <c r="F79" s="3" t="s">
        <v>180</v>
      </c>
      <c r="G79" s="3" t="s">
        <v>181</v>
      </c>
      <c r="H79" s="3" t="s">
        <v>181</v>
      </c>
    </row>
    <row r="80" ht="23" customHeight="1" outlineLevel="2" spans="1:8">
      <c r="A80" s="7"/>
      <c r="B80" s="3" t="s">
        <v>186</v>
      </c>
      <c r="C80" s="3" t="s">
        <v>181</v>
      </c>
      <c r="D80" s="3" t="s">
        <v>181</v>
      </c>
      <c r="E80" s="3" t="s">
        <v>181</v>
      </c>
      <c r="F80" s="3" t="s">
        <v>181</v>
      </c>
      <c r="G80" s="3" t="s">
        <v>181</v>
      </c>
      <c r="H80" s="3" t="s">
        <v>181</v>
      </c>
    </row>
    <row r="81" ht="23" customHeight="1" outlineLevel="2" spans="1:8">
      <c r="A81" s="7"/>
      <c r="B81" s="3" t="s">
        <v>187</v>
      </c>
      <c r="C81" s="3" t="s">
        <v>181</v>
      </c>
      <c r="D81" s="3" t="s">
        <v>181</v>
      </c>
      <c r="E81" s="3" t="s">
        <v>181</v>
      </c>
      <c r="F81" s="3" t="s">
        <v>181</v>
      </c>
      <c r="G81" s="3" t="s">
        <v>181</v>
      </c>
      <c r="H81" s="3" t="s">
        <v>181</v>
      </c>
    </row>
    <row r="82" ht="23" customHeight="1" outlineLevel="2" spans="1:8">
      <c r="A82" s="7"/>
      <c r="B82" s="3" t="s">
        <v>188</v>
      </c>
      <c r="C82" s="3" t="s">
        <v>181</v>
      </c>
      <c r="D82" s="3" t="s">
        <v>181</v>
      </c>
      <c r="E82" s="3" t="s">
        <v>181</v>
      </c>
      <c r="F82" s="3" t="s">
        <v>181</v>
      </c>
      <c r="G82" s="3" t="s">
        <v>181</v>
      </c>
      <c r="H82" s="3" t="s">
        <v>181</v>
      </c>
    </row>
    <row r="83" ht="23" customHeight="1" outlineLevel="2" spans="1:8">
      <c r="A83" s="7"/>
      <c r="B83" s="3" t="s">
        <v>189</v>
      </c>
      <c r="C83" s="3" t="s">
        <v>180</v>
      </c>
      <c r="D83" s="3" t="s">
        <v>180</v>
      </c>
      <c r="E83" s="3" t="s">
        <v>180</v>
      </c>
      <c r="F83" s="3" t="s">
        <v>180</v>
      </c>
      <c r="G83" s="3" t="s">
        <v>181</v>
      </c>
      <c r="H83" s="3" t="s">
        <v>181</v>
      </c>
    </row>
    <row r="84" ht="23" customHeight="1" outlineLevel="2" spans="1:8">
      <c r="A84" s="7"/>
      <c r="B84" s="3" t="s">
        <v>190</v>
      </c>
      <c r="C84" s="3" t="s">
        <v>191</v>
      </c>
      <c r="D84" s="3" t="s">
        <v>192</v>
      </c>
      <c r="E84" s="3" t="s">
        <v>192</v>
      </c>
      <c r="F84" s="3" t="s">
        <v>193</v>
      </c>
      <c r="G84" s="3" t="s">
        <v>192</v>
      </c>
      <c r="H84" s="3" t="s">
        <v>193</v>
      </c>
    </row>
    <row r="85" ht="23" customHeight="1" outlineLevel="2" spans="1:8">
      <c r="A85" s="7"/>
      <c r="B85" s="3" t="s">
        <v>194</v>
      </c>
      <c r="C85" s="3" t="s">
        <v>195</v>
      </c>
      <c r="D85" s="3" t="s">
        <v>195</v>
      </c>
      <c r="E85" s="3" t="s">
        <v>195</v>
      </c>
      <c r="F85" s="3" t="s">
        <v>195</v>
      </c>
      <c r="G85" s="3" t="s">
        <v>180</v>
      </c>
      <c r="H85" s="3" t="s">
        <v>180</v>
      </c>
    </row>
    <row r="86" ht="23" customHeight="1" outlineLevel="2" spans="1:8">
      <c r="A86" s="7"/>
      <c r="B86" s="3" t="s">
        <v>196</v>
      </c>
      <c r="C86" s="3" t="s">
        <v>180</v>
      </c>
      <c r="D86" s="3" t="s">
        <v>180</v>
      </c>
      <c r="E86" s="3" t="s">
        <v>180</v>
      </c>
      <c r="F86" s="3" t="s">
        <v>180</v>
      </c>
      <c r="G86" s="3" t="s">
        <v>181</v>
      </c>
      <c r="H86" s="3" t="s">
        <v>181</v>
      </c>
    </row>
    <row r="87" ht="23" customHeight="1" outlineLevel="2" spans="1:8">
      <c r="A87" s="7"/>
      <c r="B87" s="3" t="s">
        <v>197</v>
      </c>
      <c r="C87" s="3" t="s">
        <v>180</v>
      </c>
      <c r="D87" s="3" t="s">
        <v>180</v>
      </c>
      <c r="E87" s="3" t="s">
        <v>180</v>
      </c>
      <c r="F87" s="3" t="s">
        <v>180</v>
      </c>
      <c r="G87" s="3" t="s">
        <v>181</v>
      </c>
      <c r="H87" s="3" t="s">
        <v>181</v>
      </c>
    </row>
    <row r="88" ht="23" customHeight="1" outlineLevel="2" spans="1:8">
      <c r="A88" s="7"/>
      <c r="B88" s="3" t="s">
        <v>198</v>
      </c>
      <c r="C88" s="3" t="s">
        <v>195</v>
      </c>
      <c r="D88" s="3" t="s">
        <v>195</v>
      </c>
      <c r="E88" s="3" t="s">
        <v>195</v>
      </c>
      <c r="F88" s="3" t="s">
        <v>195</v>
      </c>
      <c r="G88" s="3" t="s">
        <v>180</v>
      </c>
      <c r="H88" s="3" t="s">
        <v>180</v>
      </c>
    </row>
    <row r="89" ht="23" customHeight="1" outlineLevel="2" spans="1:8">
      <c r="A89" s="7"/>
      <c r="B89" s="3" t="s">
        <v>199</v>
      </c>
      <c r="C89" s="3" t="s">
        <v>195</v>
      </c>
      <c r="D89" s="3" t="s">
        <v>195</v>
      </c>
      <c r="E89" s="3" t="s">
        <v>195</v>
      </c>
      <c r="F89" s="3" t="s">
        <v>195</v>
      </c>
      <c r="G89" s="3" t="s">
        <v>180</v>
      </c>
      <c r="H89" s="3" t="s">
        <v>180</v>
      </c>
    </row>
    <row r="90" ht="23" customHeight="1" outlineLevel="2" spans="1:8">
      <c r="A90" s="7"/>
      <c r="B90" s="3" t="s">
        <v>200</v>
      </c>
      <c r="C90" s="3" t="s">
        <v>195</v>
      </c>
      <c r="D90" s="3" t="s">
        <v>195</v>
      </c>
      <c r="E90" s="3" t="s">
        <v>195</v>
      </c>
      <c r="F90" s="3" t="s">
        <v>195</v>
      </c>
      <c r="G90" s="3" t="s">
        <v>180</v>
      </c>
      <c r="H90" s="3" t="s">
        <v>180</v>
      </c>
    </row>
    <row r="91" ht="23" customHeight="1" outlineLevel="1" spans="1:8">
      <c r="A91" s="7"/>
      <c r="B91" s="3" t="s">
        <v>201</v>
      </c>
      <c r="C91" s="3">
        <v>0.28</v>
      </c>
      <c r="D91" s="3">
        <v>0.3</v>
      </c>
      <c r="E91" s="3">
        <v>0.32</v>
      </c>
      <c r="F91" s="3">
        <v>0.31</v>
      </c>
      <c r="G91" s="3">
        <v>0.45</v>
      </c>
      <c r="H91" s="3">
        <v>0.48</v>
      </c>
    </row>
    <row r="92" ht="23" customHeight="1" outlineLevel="1" spans="1:8">
      <c r="A92" s="7"/>
      <c r="B92" s="3" t="s">
        <v>202</v>
      </c>
      <c r="C92" s="3">
        <v>0.6</v>
      </c>
      <c r="D92" s="3">
        <v>0.6</v>
      </c>
      <c r="E92" s="3">
        <v>0.7</v>
      </c>
      <c r="F92" s="3">
        <v>0.7</v>
      </c>
      <c r="G92" s="3">
        <v>0.9</v>
      </c>
      <c r="H92" s="3">
        <v>0.9</v>
      </c>
    </row>
    <row r="93" ht="23" customHeight="1" outlineLevel="1" spans="1:8">
      <c r="A93" s="7"/>
      <c r="B93" s="3" t="s">
        <v>203</v>
      </c>
      <c r="C93" s="3">
        <v>91.2</v>
      </c>
      <c r="D93" s="3">
        <v>91.1</v>
      </c>
      <c r="E93" s="3">
        <v>91</v>
      </c>
      <c r="F93" s="3">
        <v>91.1</v>
      </c>
      <c r="G93" s="3">
        <v>90.8</v>
      </c>
      <c r="H93" s="3">
        <v>90.7</v>
      </c>
    </row>
    <row r="94" ht="42" customHeight="1" outlineLevel="1" spans="1:8">
      <c r="A94" s="7"/>
      <c r="B94" s="3" t="s">
        <v>204</v>
      </c>
      <c r="C94" s="3">
        <v>500</v>
      </c>
      <c r="D94" s="3">
        <v>520</v>
      </c>
      <c r="E94" s="3">
        <v>650</v>
      </c>
      <c r="F94" s="3">
        <v>670</v>
      </c>
      <c r="G94" s="3">
        <v>800</v>
      </c>
      <c r="H94" s="3">
        <v>810</v>
      </c>
    </row>
    <row r="95" ht="42" customHeight="1" outlineLevel="2" spans="1:8">
      <c r="A95" s="7"/>
      <c r="B95" s="3" t="s">
        <v>205</v>
      </c>
      <c r="C95" s="3">
        <v>220</v>
      </c>
      <c r="D95" s="3">
        <v>230</v>
      </c>
      <c r="E95" s="3">
        <v>320</v>
      </c>
      <c r="F95" s="3">
        <v>330</v>
      </c>
      <c r="G95" s="3">
        <v>420</v>
      </c>
      <c r="H95" s="3">
        <v>430</v>
      </c>
    </row>
    <row r="96" ht="42" customHeight="1" outlineLevel="2" spans="1:8">
      <c r="A96" s="7"/>
      <c r="B96" s="3" t="s">
        <v>206</v>
      </c>
      <c r="C96" s="3" t="s">
        <v>207</v>
      </c>
      <c r="D96" s="3" t="s">
        <v>208</v>
      </c>
      <c r="E96" s="3" t="s">
        <v>209</v>
      </c>
      <c r="F96" s="3" t="s">
        <v>210</v>
      </c>
      <c r="G96" s="3" t="s">
        <v>211</v>
      </c>
      <c r="H96" s="3" t="s">
        <v>212</v>
      </c>
    </row>
    <row r="97" ht="42" customHeight="1" outlineLevel="2" spans="1:8">
      <c r="A97" s="7"/>
      <c r="B97" s="3" t="s">
        <v>213</v>
      </c>
      <c r="C97" s="3">
        <v>900</v>
      </c>
      <c r="D97" s="3">
        <v>950</v>
      </c>
      <c r="E97" s="3">
        <v>800</v>
      </c>
      <c r="F97" s="3">
        <v>850</v>
      </c>
      <c r="G97" s="3">
        <v>1000</v>
      </c>
      <c r="H97" s="3">
        <v>1050</v>
      </c>
    </row>
    <row r="98" ht="42" customHeight="1" outlineLevel="2" spans="1:8">
      <c r="A98" s="7"/>
      <c r="B98" s="3" t="s">
        <v>214</v>
      </c>
      <c r="C98" s="3">
        <v>450</v>
      </c>
      <c r="D98" s="3">
        <v>500</v>
      </c>
      <c r="E98" s="3">
        <v>400</v>
      </c>
      <c r="F98" s="3">
        <v>450</v>
      </c>
      <c r="G98" s="3">
        <v>600</v>
      </c>
      <c r="H98" s="3">
        <v>650</v>
      </c>
    </row>
    <row r="99" ht="42" customHeight="1" outlineLevel="2" spans="1:8">
      <c r="A99" s="7"/>
      <c r="B99" s="3" t="s">
        <v>215</v>
      </c>
      <c r="C99" s="3">
        <v>180</v>
      </c>
      <c r="D99" s="3">
        <v>220</v>
      </c>
      <c r="E99" s="3">
        <v>160</v>
      </c>
      <c r="F99" s="3">
        <v>200</v>
      </c>
      <c r="G99" s="3">
        <v>260</v>
      </c>
      <c r="H99" s="3">
        <v>300</v>
      </c>
    </row>
    <row r="100" ht="23" customHeight="1" outlineLevel="2" spans="1:8">
      <c r="A100" s="7"/>
      <c r="B100" s="3" t="s">
        <v>216</v>
      </c>
      <c r="C100" s="3">
        <v>140</v>
      </c>
      <c r="D100" s="3">
        <v>145</v>
      </c>
      <c r="E100" s="3">
        <v>190</v>
      </c>
      <c r="F100" s="3">
        <v>195</v>
      </c>
      <c r="G100" s="3">
        <v>220</v>
      </c>
      <c r="H100" s="3">
        <v>225</v>
      </c>
    </row>
    <row r="101" ht="42" customHeight="1" outlineLevel="2" spans="1:8">
      <c r="A101" s="7"/>
      <c r="B101" s="3" t="s">
        <v>217</v>
      </c>
      <c r="C101" s="3" t="s">
        <v>218</v>
      </c>
      <c r="D101" s="3" t="s">
        <v>219</v>
      </c>
      <c r="E101" s="3" t="s">
        <v>220</v>
      </c>
      <c r="F101" s="3" t="s">
        <v>221</v>
      </c>
      <c r="G101" s="3" t="s">
        <v>222</v>
      </c>
      <c r="H101" s="3" t="s">
        <v>223</v>
      </c>
    </row>
    <row r="102" ht="23" customHeight="1" outlineLevel="2" spans="1:8">
      <c r="A102" s="7"/>
      <c r="B102" s="3" t="s">
        <v>224</v>
      </c>
      <c r="C102" s="9">
        <v>0.872</v>
      </c>
      <c r="D102" s="9">
        <v>0.875</v>
      </c>
      <c r="E102" s="9">
        <v>0.86</v>
      </c>
      <c r="F102" s="9">
        <v>0.865</v>
      </c>
      <c r="G102" s="9">
        <v>0.885</v>
      </c>
      <c r="H102" s="9">
        <v>0.889</v>
      </c>
    </row>
    <row r="103" ht="42" customHeight="1" outlineLevel="2" spans="1:8">
      <c r="A103" s="7"/>
      <c r="B103" s="3" t="s">
        <v>225</v>
      </c>
      <c r="C103" s="3" t="s">
        <v>226</v>
      </c>
      <c r="D103" s="3" t="s">
        <v>226</v>
      </c>
      <c r="E103" s="3" t="s">
        <v>227</v>
      </c>
      <c r="F103" s="3" t="s">
        <v>227</v>
      </c>
      <c r="G103" s="3" t="s">
        <v>228</v>
      </c>
      <c r="H103" s="3" t="s">
        <v>228</v>
      </c>
    </row>
    <row r="104" ht="23" customHeight="1" outlineLevel="1" spans="1:8">
      <c r="A104" s="7"/>
      <c r="B104" s="3" t="s">
        <v>229</v>
      </c>
      <c r="C104" s="3">
        <v>79.5</v>
      </c>
      <c r="D104" s="3">
        <v>80.1</v>
      </c>
      <c r="E104" s="3">
        <v>94</v>
      </c>
      <c r="F104" s="3">
        <v>94.6</v>
      </c>
      <c r="G104" s="3">
        <v>102</v>
      </c>
      <c r="H104" s="3">
        <v>101.7</v>
      </c>
    </row>
    <row r="105" ht="23" customHeight="1" outlineLevel="2" spans="1:8">
      <c r="A105" s="7"/>
      <c r="B105" s="3" t="s">
        <v>230</v>
      </c>
      <c r="C105" s="3">
        <v>18</v>
      </c>
      <c r="D105" s="3">
        <v>18.4</v>
      </c>
      <c r="E105" s="3">
        <v>22</v>
      </c>
      <c r="F105" s="3">
        <v>22.3</v>
      </c>
      <c r="G105" s="3">
        <v>26</v>
      </c>
      <c r="H105" s="3">
        <v>25.7</v>
      </c>
    </row>
    <row r="106" ht="23" customHeight="1" outlineLevel="2" spans="1:8">
      <c r="A106" s="7"/>
      <c r="B106" s="3" t="s">
        <v>231</v>
      </c>
      <c r="C106" s="3">
        <v>34</v>
      </c>
      <c r="D106" s="3">
        <v>34.4</v>
      </c>
      <c r="E106" s="3">
        <v>39</v>
      </c>
      <c r="F106" s="3">
        <v>39.5</v>
      </c>
      <c r="G106" s="3">
        <v>44</v>
      </c>
      <c r="H106" s="3">
        <v>43.6</v>
      </c>
    </row>
    <row r="107" ht="38" customHeight="1" outlineLevel="2" spans="1:8">
      <c r="A107" s="7"/>
      <c r="B107" s="3" t="s">
        <v>232</v>
      </c>
      <c r="C107" s="3" t="s">
        <v>233</v>
      </c>
      <c r="D107" s="3" t="s">
        <v>233</v>
      </c>
      <c r="E107" s="3" t="s">
        <v>234</v>
      </c>
      <c r="F107" s="3" t="s">
        <v>234</v>
      </c>
      <c r="G107" s="3" t="s">
        <v>235</v>
      </c>
      <c r="H107" s="3" t="s">
        <v>235</v>
      </c>
    </row>
    <row r="108" ht="23" customHeight="1" outlineLevel="2" spans="1:8">
      <c r="A108" s="7"/>
      <c r="B108" s="3" t="s">
        <v>236</v>
      </c>
      <c r="C108" s="3">
        <v>73</v>
      </c>
      <c r="D108" s="3">
        <v>73.6</v>
      </c>
      <c r="E108" s="3">
        <v>89</v>
      </c>
      <c r="F108" s="3">
        <v>89.5</v>
      </c>
      <c r="G108" s="3">
        <v>95</v>
      </c>
      <c r="H108" s="3">
        <v>94.8</v>
      </c>
    </row>
    <row r="109" ht="42" customHeight="1" outlineLevel="2" spans="1:8">
      <c r="A109" s="7"/>
      <c r="B109" s="3" t="s">
        <v>237</v>
      </c>
      <c r="C109" s="3">
        <v>15</v>
      </c>
      <c r="D109" s="3">
        <v>15.2</v>
      </c>
      <c r="E109" s="3">
        <v>19</v>
      </c>
      <c r="F109" s="3">
        <v>19.4</v>
      </c>
      <c r="G109" s="3">
        <v>23</v>
      </c>
      <c r="H109" s="3">
        <v>22.8</v>
      </c>
    </row>
    <row r="110" ht="42" customHeight="1" outlineLevel="2" spans="1:8">
      <c r="A110" s="7"/>
      <c r="B110" s="3" t="s">
        <v>238</v>
      </c>
      <c r="C110" s="3">
        <v>30</v>
      </c>
      <c r="D110" s="3">
        <v>30.5</v>
      </c>
      <c r="E110" s="3">
        <v>35</v>
      </c>
      <c r="F110" s="3">
        <v>35.6</v>
      </c>
      <c r="G110" s="3">
        <v>40</v>
      </c>
      <c r="H110" s="3">
        <v>39.6</v>
      </c>
    </row>
    <row r="111" ht="58" customHeight="1" outlineLevel="1" spans="1:8">
      <c r="A111" s="7"/>
      <c r="B111" s="3" t="s">
        <v>239</v>
      </c>
      <c r="C111" s="3" t="s">
        <v>240</v>
      </c>
      <c r="D111" s="3" t="s">
        <v>240</v>
      </c>
      <c r="E111" s="3" t="s">
        <v>241</v>
      </c>
      <c r="F111" s="3" t="s">
        <v>241</v>
      </c>
      <c r="G111" s="3" t="s">
        <v>242</v>
      </c>
      <c r="H111" s="3" t="s">
        <v>242</v>
      </c>
    </row>
    <row r="112" ht="58" customHeight="1" outlineLevel="2" spans="1:8">
      <c r="A112" s="7"/>
      <c r="B112" s="3" t="s">
        <v>243</v>
      </c>
      <c r="C112" s="3" t="s">
        <v>240</v>
      </c>
      <c r="D112" s="3" t="s">
        <v>240</v>
      </c>
      <c r="E112" s="3" t="s">
        <v>241</v>
      </c>
      <c r="F112" s="3" t="s">
        <v>241</v>
      </c>
      <c r="G112" s="3" t="s">
        <v>242</v>
      </c>
      <c r="H112" s="3" t="s">
        <v>242</v>
      </c>
    </row>
    <row r="113" ht="58" customHeight="1" outlineLevel="2" spans="1:8">
      <c r="A113" s="7"/>
      <c r="B113" s="3" t="s">
        <v>244</v>
      </c>
      <c r="C113" s="3" t="s">
        <v>240</v>
      </c>
      <c r="D113" s="3" t="s">
        <v>240</v>
      </c>
      <c r="E113" s="3" t="s">
        <v>241</v>
      </c>
      <c r="F113" s="3" t="s">
        <v>241</v>
      </c>
      <c r="G113" s="3" t="s">
        <v>242</v>
      </c>
      <c r="H113" s="3" t="s">
        <v>242</v>
      </c>
    </row>
    <row r="114" ht="58" customHeight="1" outlineLevel="2" spans="1:8">
      <c r="A114" s="7"/>
      <c r="B114" s="3" t="s">
        <v>245</v>
      </c>
      <c r="C114" s="3" t="s">
        <v>240</v>
      </c>
      <c r="D114" s="3" t="s">
        <v>240</v>
      </c>
      <c r="E114" s="3" t="s">
        <v>241</v>
      </c>
      <c r="F114" s="3" t="s">
        <v>241</v>
      </c>
      <c r="G114" s="3" t="s">
        <v>242</v>
      </c>
      <c r="H114" s="3" t="s">
        <v>242</v>
      </c>
    </row>
    <row r="115" ht="42" customHeight="1" outlineLevel="2" spans="1:8">
      <c r="A115" s="7"/>
      <c r="B115" s="3" t="s">
        <v>246</v>
      </c>
      <c r="C115" s="3" t="s">
        <v>247</v>
      </c>
      <c r="D115" s="3" t="s">
        <v>247</v>
      </c>
      <c r="E115" s="3" t="s">
        <v>248</v>
      </c>
      <c r="F115" s="3" t="s">
        <v>248</v>
      </c>
      <c r="G115" s="3" t="s">
        <v>249</v>
      </c>
      <c r="H115" s="3" t="s">
        <v>249</v>
      </c>
    </row>
    <row r="116" ht="42" customHeight="1" outlineLevel="1" spans="1:8">
      <c r="A116" s="7"/>
      <c r="B116" s="3" t="s">
        <v>250</v>
      </c>
      <c r="C116" s="3" t="s">
        <v>251</v>
      </c>
      <c r="D116" s="3" t="s">
        <v>252</v>
      </c>
      <c r="E116" s="3" t="s">
        <v>253</v>
      </c>
      <c r="F116" s="3" t="s">
        <v>253</v>
      </c>
      <c r="G116" s="3" t="s">
        <v>254</v>
      </c>
      <c r="H116" s="3" t="s">
        <v>254</v>
      </c>
    </row>
    <row r="117" ht="23" customHeight="1" outlineLevel="1" spans="1:8">
      <c r="A117" s="7"/>
      <c r="B117" s="3" t="s">
        <v>255</v>
      </c>
      <c r="C117" s="3" t="s">
        <v>256</v>
      </c>
      <c r="D117" s="3" t="s">
        <v>257</v>
      </c>
      <c r="E117" s="3" t="s">
        <v>258</v>
      </c>
      <c r="F117" s="3" t="s">
        <v>259</v>
      </c>
      <c r="G117" s="3" t="s">
        <v>260</v>
      </c>
      <c r="H117" s="3" t="s">
        <v>261</v>
      </c>
    </row>
    <row r="118" ht="23" customHeight="1" outlineLevel="1" spans="1:8">
      <c r="A118" s="7"/>
      <c r="B118" s="3" t="s">
        <v>262</v>
      </c>
      <c r="C118" s="3" t="s">
        <v>263</v>
      </c>
      <c r="D118" s="3" t="s">
        <v>263</v>
      </c>
      <c r="E118" s="3" t="s">
        <v>263</v>
      </c>
      <c r="F118" s="3" t="s">
        <v>263</v>
      </c>
      <c r="G118" s="3" t="s">
        <v>263</v>
      </c>
      <c r="H118" s="3" t="s">
        <v>263</v>
      </c>
    </row>
    <row r="119" ht="23" customHeight="1" outlineLevel="2" spans="1:8">
      <c r="A119" s="7"/>
      <c r="B119" s="3" t="s">
        <v>264</v>
      </c>
      <c r="C119" s="3" t="s">
        <v>265</v>
      </c>
      <c r="D119" s="3" t="s">
        <v>265</v>
      </c>
      <c r="E119" s="3" t="s">
        <v>263</v>
      </c>
      <c r="F119" s="3" t="s">
        <v>263</v>
      </c>
      <c r="G119" s="3" t="s">
        <v>263</v>
      </c>
      <c r="H119" s="3" t="s">
        <v>263</v>
      </c>
    </row>
    <row r="120" ht="42" customHeight="1" outlineLevel="2" spans="1:8">
      <c r="A120" s="7"/>
      <c r="B120" s="3" t="s">
        <v>266</v>
      </c>
      <c r="C120" s="3" t="s">
        <v>267</v>
      </c>
      <c r="D120" s="3" t="s">
        <v>268</v>
      </c>
      <c r="E120" s="3" t="s">
        <v>269</v>
      </c>
      <c r="F120" s="3" t="s">
        <v>270</v>
      </c>
      <c r="G120" s="3" t="s">
        <v>271</v>
      </c>
      <c r="H120" s="3" t="s">
        <v>269</v>
      </c>
    </row>
    <row r="121" ht="42" customHeight="1" outlineLevel="2" spans="1:8">
      <c r="A121" s="7"/>
      <c r="B121" s="3" t="s">
        <v>272</v>
      </c>
      <c r="C121" s="3" t="s">
        <v>265</v>
      </c>
      <c r="D121" s="3" t="s">
        <v>265</v>
      </c>
      <c r="E121" s="3" t="s">
        <v>263</v>
      </c>
      <c r="F121" s="3" t="s">
        <v>263</v>
      </c>
      <c r="G121" s="3" t="s">
        <v>263</v>
      </c>
      <c r="H121" s="3" t="s">
        <v>263</v>
      </c>
    </row>
    <row r="122" ht="23" customHeight="1" outlineLevel="2" spans="1:8">
      <c r="A122" s="7"/>
      <c r="B122" s="3" t="s">
        <v>273</v>
      </c>
      <c r="C122" s="3">
        <v>0.8</v>
      </c>
      <c r="D122" s="3">
        <v>0.9</v>
      </c>
      <c r="E122" s="3">
        <v>0.7</v>
      </c>
      <c r="F122" s="3">
        <v>0.8</v>
      </c>
      <c r="G122" s="3">
        <v>0.8</v>
      </c>
      <c r="H122" s="3">
        <v>0.8</v>
      </c>
    </row>
    <row r="123" ht="23" customHeight="1" outlineLevel="2" spans="1:8">
      <c r="A123" s="7"/>
      <c r="B123" s="3" t="s">
        <v>274</v>
      </c>
      <c r="C123" s="3">
        <v>1.2</v>
      </c>
      <c r="D123" s="3">
        <v>1.3</v>
      </c>
      <c r="E123" s="3">
        <v>1</v>
      </c>
      <c r="F123" s="3">
        <v>1.1</v>
      </c>
      <c r="G123" s="3">
        <v>1.1</v>
      </c>
      <c r="H123" s="3">
        <v>1.2</v>
      </c>
    </row>
    <row r="124" ht="23" customHeight="1" outlineLevel="1" spans="1:8">
      <c r="A124" s="7"/>
      <c r="B124" s="3" t="s">
        <v>275</v>
      </c>
      <c r="C124" s="12">
        <v>52000000000</v>
      </c>
      <c r="D124" s="12">
        <v>50000000000</v>
      </c>
      <c r="E124" s="12">
        <v>60000000000</v>
      </c>
      <c r="F124" s="12">
        <v>58000000000</v>
      </c>
      <c r="G124" s="12">
        <v>62000000000</v>
      </c>
      <c r="H124" s="12">
        <v>60000000000</v>
      </c>
    </row>
    <row r="125" ht="23" customHeight="1" outlineLevel="2" spans="1:8">
      <c r="A125" s="7"/>
      <c r="B125" s="3" t="s">
        <v>276</v>
      </c>
      <c r="C125" s="3">
        <v>4.5</v>
      </c>
      <c r="D125" s="3">
        <v>4.6</v>
      </c>
      <c r="E125" s="3">
        <v>4.4</v>
      </c>
      <c r="F125" s="3">
        <v>4.5</v>
      </c>
      <c r="G125" s="3">
        <v>4.2</v>
      </c>
      <c r="H125" s="3">
        <v>4.1</v>
      </c>
    </row>
    <row r="126" ht="23" customHeight="1" outlineLevel="2" spans="1:8">
      <c r="A126" s="7"/>
      <c r="B126" s="3" t="s">
        <v>277</v>
      </c>
      <c r="C126" s="9">
        <v>0.62</v>
      </c>
      <c r="D126" s="9">
        <v>0.61</v>
      </c>
      <c r="E126" s="9">
        <v>0.65</v>
      </c>
      <c r="F126" s="9">
        <v>0.64</v>
      </c>
      <c r="G126" s="9">
        <v>0.68</v>
      </c>
      <c r="H126" s="9">
        <v>0.67</v>
      </c>
    </row>
    <row r="127" ht="23" customHeight="1" outlineLevel="2" spans="1:8">
      <c r="A127" s="7"/>
      <c r="B127" s="3" t="s">
        <v>278</v>
      </c>
      <c r="C127" s="3">
        <v>0.31</v>
      </c>
      <c r="D127" s="3">
        <v>0.32</v>
      </c>
      <c r="E127" s="3">
        <v>0.35</v>
      </c>
      <c r="F127" s="3">
        <v>0.36</v>
      </c>
      <c r="G127" s="3">
        <v>0.38</v>
      </c>
      <c r="H127" s="3">
        <v>0.39</v>
      </c>
    </row>
    <row r="128" ht="23" customHeight="1" outlineLevel="2" spans="1:8">
      <c r="A128" s="7"/>
      <c r="B128" s="3" t="s">
        <v>279</v>
      </c>
      <c r="C128" s="9">
        <v>0.75</v>
      </c>
      <c r="D128" s="9">
        <v>0.74</v>
      </c>
      <c r="E128" s="9">
        <v>0.8</v>
      </c>
      <c r="F128" s="9">
        <v>0.79</v>
      </c>
      <c r="G128" s="9">
        <v>0.83</v>
      </c>
      <c r="H128" s="9">
        <v>0.82</v>
      </c>
    </row>
    <row r="129" ht="42" customHeight="1" outlineLevel="2" spans="1:8">
      <c r="A129" s="7"/>
      <c r="B129" s="3" t="s">
        <v>280</v>
      </c>
      <c r="C129" s="3" t="s">
        <v>281</v>
      </c>
      <c r="D129" s="3" t="s">
        <v>281</v>
      </c>
      <c r="E129" s="3">
        <v>180</v>
      </c>
      <c r="F129" s="3">
        <v>190</v>
      </c>
      <c r="G129" s="3">
        <v>90</v>
      </c>
      <c r="H129" s="3">
        <v>95</v>
      </c>
    </row>
    <row r="130" ht="23" customHeight="1" outlineLevel="2" spans="1:8">
      <c r="A130" s="7"/>
      <c r="B130" s="3" t="s">
        <v>282</v>
      </c>
      <c r="C130" s="3">
        <v>0.38</v>
      </c>
      <c r="D130" s="3">
        <v>0.37</v>
      </c>
      <c r="E130" s="3">
        <v>0.28</v>
      </c>
      <c r="F130" s="3">
        <v>0.29</v>
      </c>
      <c r="G130" s="3">
        <v>0.22</v>
      </c>
      <c r="H130" s="3">
        <v>0.23</v>
      </c>
    </row>
    <row r="131" ht="23" customHeight="1" outlineLevel="2" spans="1:8">
      <c r="A131" s="7"/>
      <c r="B131" s="3" t="s">
        <v>283</v>
      </c>
      <c r="C131" s="3">
        <v>0.31</v>
      </c>
      <c r="D131" s="3">
        <v>0.3</v>
      </c>
      <c r="E131" s="3">
        <v>0.23</v>
      </c>
      <c r="F131" s="3">
        <v>0.24</v>
      </c>
      <c r="G131" s="3">
        <v>0.18</v>
      </c>
      <c r="H131" s="3">
        <v>0.19</v>
      </c>
    </row>
    <row r="132" ht="23" customHeight="1" outlineLevel="2" spans="1:8">
      <c r="A132" s="7"/>
      <c r="B132" s="3" t="s">
        <v>284</v>
      </c>
      <c r="C132" s="3" t="s">
        <v>285</v>
      </c>
      <c r="D132" s="3" t="s">
        <v>285</v>
      </c>
      <c r="E132" s="3" t="s">
        <v>286</v>
      </c>
      <c r="F132" s="3" t="s">
        <v>286</v>
      </c>
      <c r="G132" s="3" t="s">
        <v>286</v>
      </c>
      <c r="H132" s="3" t="s">
        <v>286</v>
      </c>
    </row>
    <row r="133" ht="23" customHeight="1" outlineLevel="2" spans="1:8">
      <c r="A133" s="7"/>
      <c r="B133" s="3" t="s">
        <v>287</v>
      </c>
      <c r="C133" s="3" t="s">
        <v>288</v>
      </c>
      <c r="D133" s="3" t="s">
        <v>288</v>
      </c>
      <c r="E133" s="3" t="s">
        <v>285</v>
      </c>
      <c r="F133" s="3" t="s">
        <v>285</v>
      </c>
      <c r="G133" s="3" t="s">
        <v>286</v>
      </c>
      <c r="H133" s="3" t="s">
        <v>286</v>
      </c>
    </row>
    <row r="134" ht="23" customHeight="1" outlineLevel="1" spans="1:8">
      <c r="A134" s="7"/>
      <c r="B134" s="3"/>
      <c r="C134" s="3"/>
      <c r="D134" s="3"/>
      <c r="E134" s="3"/>
      <c r="F134" s="3"/>
      <c r="G134" s="3"/>
      <c r="H134" s="3"/>
    </row>
    <row r="135" ht="23" customHeight="1" outlineLevel="1" spans="1:8">
      <c r="A135" s="7"/>
      <c r="B135" s="3"/>
      <c r="C135" s="3"/>
      <c r="D135" s="3"/>
      <c r="E135" s="3"/>
      <c r="F135" s="3"/>
      <c r="G135" s="3"/>
      <c r="H135" s="3"/>
    </row>
    <row r="136" ht="29" customHeight="1" spans="1:8">
      <c r="A136" s="7" t="s">
        <v>289</v>
      </c>
      <c r="B136" s="2" t="s">
        <v>290</v>
      </c>
      <c r="C136" s="2"/>
      <c r="D136" s="2"/>
      <c r="E136" s="2"/>
      <c r="F136" s="2"/>
      <c r="G136" s="2"/>
      <c r="H136" s="2"/>
    </row>
    <row r="137" ht="29" customHeight="1" spans="1:8">
      <c r="A137" s="7"/>
      <c r="B137" s="2"/>
      <c r="C137" s="2"/>
      <c r="D137" s="2"/>
      <c r="E137" s="2"/>
      <c r="F137" s="2"/>
      <c r="G137" s="2"/>
      <c r="H137" s="2"/>
    </row>
    <row r="138" ht="92" customHeight="1" spans="1:8">
      <c r="A138" s="3" t="s">
        <v>291</v>
      </c>
      <c r="B138" s="2" t="s">
        <v>292</v>
      </c>
      <c r="C138" s="2"/>
      <c r="D138" s="2"/>
      <c r="E138" s="2"/>
      <c r="F138" s="2"/>
      <c r="G138" s="2"/>
      <c r="H138" s="2"/>
    </row>
  </sheetData>
  <mergeCells count="14">
    <mergeCell ref="B1:H1"/>
    <mergeCell ref="B3:H3"/>
    <mergeCell ref="B4:H4"/>
    <mergeCell ref="B5:H5"/>
    <mergeCell ref="B6:H6"/>
    <mergeCell ref="B138:H138"/>
    <mergeCell ref="A7:A18"/>
    <mergeCell ref="A19:A48"/>
    <mergeCell ref="A49:A50"/>
    <mergeCell ref="A51:A60"/>
    <mergeCell ref="A61:A63"/>
    <mergeCell ref="A64:A135"/>
    <mergeCell ref="A136:A137"/>
    <mergeCell ref="B136:H137"/>
  </mergeCells>
  <dataValidations count="2">
    <dataValidation type="list" sqref="C10:H10">
      <formula1>"UV光固化,热固化,EB电子束固化,/"</formula1>
    </dataValidation>
    <dataValidation type="custom" allowBlank="1" showErrorMessage="1" errorTitle="物料用量格式不正确" error="可填非负数字、带g的用量（如90g）或/。" sqref="C52:H59">
      <formula1>IFERROR(IF((C52="")+(C52="/"),0,IF(ISNUMBER(C52),C52,IF((RIGHT(LOWER(TRIM(C52)),1)="g")*ISERROR(SEARCH("%",C52))*ISERROR(SEARCH("/",C52)),--LEFT(TRIM(C52),LEN(TRIM(C52))-1),-1))),-1)&gt;=0</formula1>
    </dataValidation>
  </dataValidations>
  <printOptions horizontalCentered="1"/>
  <pageMargins left="0.25" right="0.25" top="0.35" bottom="0.35" header="0.15" footer="0.15"/>
  <pageSetup paperSize="9" fitToHeight="0" orientation="landscape"/>
  <headerFooter>
    <oddFooter>&amp;L模拟数据 / 仅供演示 / 测试实验记录&amp;C第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</cp:lastModifiedBy>
  <dcterms:created xsi:type="dcterms:W3CDTF">2026-10-24T09:23:55Z</dcterms:created>
  <dcterms:modified xsi:type="dcterms:W3CDTF">2026-10-24T09:29:32Z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C7E6DC9A248B4E0E8363C55FC7BDAB0F_12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